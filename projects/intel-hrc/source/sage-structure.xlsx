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hrc1-my.sharepoint.com/personal/t_enanga_inteloutsourcingservices_com/Documents/"/>
    </mc:Choice>
  </mc:AlternateContent>
  <xr:revisionPtr revIDLastSave="87" documentId="8_{A1F81375-98FC-4A7B-B055-9AEF2909985D}" xr6:coauthVersionLast="47" xr6:coauthVersionMax="47" xr10:uidLastSave="{5D9BF37B-5D1A-4102-86D2-15927AEFCD2D}"/>
  <bookViews>
    <workbookView xWindow="-108" yWindow="-108" windowWidth="23256" windowHeight="12456" xr2:uid="{77FAAF68-602B-4537-9192-C5FD0DAD74EB}"/>
  </bookViews>
  <sheets>
    <sheet name="supplier auxiliary - INTELHRC " sheetId="1" r:id="rId1"/>
    <sheet name="inter CO - INTEL HRC " sheetId="2" r:id="rId2"/>
    <sheet name="Journal codes INTEL HRC " sheetId="3" r:id="rId3"/>
    <sheet name="supplier auxiliary - BURKINA " sheetId="4" r:id="rId4"/>
    <sheet name="JOURNAL CODES BURKINA" sheetId="5" r:id="rId5"/>
    <sheet name="CHART OF ACCOUNTS - BF " sheetId="6" r:id="rId6"/>
    <sheet name="SUPPLIER AUXILIARY -IOS CMR  " sheetId="7" r:id="rId7"/>
    <sheet name="JOURNAL CODES - IOS CMR  " sheetId="8" r:id="rId8"/>
    <sheet name="CHART OF ACCOUNTS IOS CMR " sheetId="9" r:id="rId9"/>
    <sheet name="SUPPLIER AUXILIARY - SEN " sheetId="10" r:id="rId10"/>
    <sheet name="CHART OF ACCOUNTS - SEN " sheetId="12" r:id="rId11"/>
    <sheet name="JOURNAL CODES - SEN " sheetId="11" r:id="rId12"/>
    <sheet name="SUPPLIER AUXILIARY - RDC" sheetId="13" r:id="rId13"/>
    <sheet name="CHART OF ACCOUNTS  RDC" sheetId="14" r:id="rId14"/>
    <sheet name="JOURNAL CODES - RDC" sheetId="15" r:id="rId15"/>
    <sheet name="CHART OF ACCOUNTS CIV " sheetId="16" r:id="rId16"/>
    <sheet name="SUPPLIER AUXILIARY CIV " sheetId="17" r:id="rId17"/>
    <sheet name="JOURNAL CODE CIV " sheetId="18" r:id="rId18"/>
    <sheet name="CHART OF ACCOUNTS - NIGER " sheetId="19" r:id="rId19"/>
    <sheet name="SUPPLIER AUXILIARY - NIGER " sheetId="20" r:id="rId20"/>
    <sheet name="JOURNAL CODES - NIGER " sheetId="21" r:id="rId21"/>
    <sheet name="CHART OF ACCOUNTS - MALI " sheetId="22" r:id="rId22"/>
    <sheet name="SUPPLIER AUXILIARY - MALI " sheetId="23" r:id="rId23"/>
    <sheet name="JOURNAL CODES - MALI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2" l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" i="20"/>
  <c r="B3" i="20"/>
  <c r="B4" i="20"/>
  <c r="B5" i="20"/>
  <c r="N2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B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7" i="13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</calcChain>
</file>

<file path=xl/sharedStrings.xml><?xml version="1.0" encoding="utf-8"?>
<sst xmlns="http://schemas.openxmlformats.org/spreadsheetml/2006/main" count="4828" uniqueCount="1978">
  <si>
    <t>Type</t>
  </si>
  <si>
    <t>Number</t>
  </si>
  <si>
    <t>Account name</t>
  </si>
  <si>
    <t>Debit balance</t>
  </si>
  <si>
    <t>Credit balance</t>
  </si>
  <si>
    <t>Balance sign</t>
  </si>
  <si>
    <t>Supplier</t>
  </si>
  <si>
    <t>FR0001</t>
  </si>
  <si>
    <t>ORANGE</t>
  </si>
  <si>
    <t>FR0002</t>
  </si>
  <si>
    <t>CAMTEL</t>
  </si>
  <si>
    <t>FR0003</t>
  </si>
  <si>
    <t>ENEO</t>
  </si>
  <si>
    <t>FR0004</t>
  </si>
  <si>
    <t>CDE</t>
  </si>
  <si>
    <t>FR0005</t>
  </si>
  <si>
    <t>AURA</t>
  </si>
  <si>
    <t>FR0006</t>
  </si>
  <si>
    <t>CAD</t>
  </si>
  <si>
    <t>FR0007</t>
  </si>
  <si>
    <t>BABATRANS</t>
  </si>
  <si>
    <t>FR0008</t>
  </si>
  <si>
    <t>CHANAS ASSURANCE</t>
  </si>
  <si>
    <t>FR0009</t>
  </si>
  <si>
    <t>EQUILIBRE</t>
  </si>
  <si>
    <t>FR0010</t>
  </si>
  <si>
    <t>NM SERVICES</t>
  </si>
  <si>
    <t>FR0011</t>
  </si>
  <si>
    <t>STE BUSINESS COMPUTER SARL</t>
  </si>
  <si>
    <t>FR0012</t>
  </si>
  <si>
    <t>ERNST &amp; YOUNG</t>
  </si>
  <si>
    <t>FR0013</t>
  </si>
  <si>
    <t>AXA ASSURANCE</t>
  </si>
  <si>
    <t>FR0014</t>
  </si>
  <si>
    <t>GMC ASSURANCE</t>
  </si>
  <si>
    <t>FR0015</t>
  </si>
  <si>
    <t>AGC ASSURANCE</t>
  </si>
  <si>
    <t>FR0016</t>
  </si>
  <si>
    <t>GENERALIA ASSURANCE/SAAR</t>
  </si>
  <si>
    <t>FR0017</t>
  </si>
  <si>
    <t>ALLIANZ ASSURANCE</t>
  </si>
  <si>
    <t>FR0018</t>
  </si>
  <si>
    <t>DISTRIBUTEUR JOURNAUX</t>
  </si>
  <si>
    <t>FR0019</t>
  </si>
  <si>
    <t>CABINET DOCTEUR WAMBO</t>
  </si>
  <si>
    <t>FR0020</t>
  </si>
  <si>
    <t>CLINIC DU DOCTEUR KAFUNDA</t>
  </si>
  <si>
    <t>FR0021</t>
  </si>
  <si>
    <t>ARNO</t>
  </si>
  <si>
    <t>FR0022</t>
  </si>
  <si>
    <t>PROLOGISTICS AND TRADE SARL</t>
  </si>
  <si>
    <t>FR0023</t>
  </si>
  <si>
    <t>ETS BASILE TOUKAM BUSINESS CENTER</t>
  </si>
  <si>
    <t>FR0024</t>
  </si>
  <si>
    <t>YANN LE NAOUR/LOYER 3C CAM</t>
  </si>
  <si>
    <t>FR0025</t>
  </si>
  <si>
    <t>CPL CONSULTING</t>
  </si>
  <si>
    <t>FR0026</t>
  </si>
  <si>
    <t>NEXTTEL</t>
  </si>
  <si>
    <t>FR0027</t>
  </si>
  <si>
    <t>ETS LIZINA</t>
  </si>
  <si>
    <t>FR0028</t>
  </si>
  <si>
    <t>MTN CAMEROON</t>
  </si>
  <si>
    <t>FR0029</t>
  </si>
  <si>
    <t>PESTCON AFRICA PLC</t>
  </si>
  <si>
    <t>FR0030</t>
  </si>
  <si>
    <t>FOURNISSEURS DIVERS</t>
  </si>
  <si>
    <t>FR0031</t>
  </si>
  <si>
    <t>PJ &amp; ASSOCIATES CAMEROON</t>
  </si>
  <si>
    <t>FR0032</t>
  </si>
  <si>
    <t>LES MUTUELLES REUNIES</t>
  </si>
  <si>
    <t>FR0033</t>
  </si>
  <si>
    <t>SWECOM</t>
  </si>
  <si>
    <t>FR0034</t>
  </si>
  <si>
    <t>ACAM  VIE S.A</t>
  </si>
  <si>
    <t>FR0035</t>
  </si>
  <si>
    <t>BIA GROUP</t>
  </si>
  <si>
    <t>FR0036</t>
  </si>
  <si>
    <t>AVOCAT HONORE YANA NDZOMO</t>
  </si>
  <si>
    <t>FR0037</t>
  </si>
  <si>
    <t>STALLION PROTECTIVE SERVICES</t>
  </si>
  <si>
    <t>FR0038</t>
  </si>
  <si>
    <t>SPREADING CONSULTING</t>
  </si>
  <si>
    <t>FR0039</t>
  </si>
  <si>
    <t>BLUE PRINT EVENTZ/FSSEUR GATEAU</t>
  </si>
  <si>
    <t>FR0040</t>
  </si>
  <si>
    <t>YATAB CENTER</t>
  </si>
  <si>
    <t>FR0041</t>
  </si>
  <si>
    <t>INTEK</t>
  </si>
  <si>
    <t>FR0042</t>
  </si>
  <si>
    <t>CAISSE D'AMORTISSEMENT DU CAMEROUN</t>
  </si>
  <si>
    <t>FR0043</t>
  </si>
  <si>
    <t>MBM ADDED VALUE</t>
  </si>
  <si>
    <t>FR0044</t>
  </si>
  <si>
    <t>TK CONSULTANCY</t>
  </si>
  <si>
    <t>FR0045</t>
  </si>
  <si>
    <t>GIST AFRIQUE</t>
  </si>
  <si>
    <t>FR0046</t>
  </si>
  <si>
    <t>GIGABYTE</t>
  </si>
  <si>
    <t>FR0047</t>
  </si>
  <si>
    <t>BENEFICIAL LIFE</t>
  </si>
  <si>
    <t>FR0048</t>
  </si>
  <si>
    <t>SUNU ASSURANCE</t>
  </si>
  <si>
    <t>FR0049</t>
  </si>
  <si>
    <t>PATIMARK</t>
  </si>
  <si>
    <t>FR0050</t>
  </si>
  <si>
    <t>STATION</t>
  </si>
  <si>
    <t>FR0051</t>
  </si>
  <si>
    <t>DIVERSES FOURNITURES</t>
  </si>
  <si>
    <t>FR0052</t>
  </si>
  <si>
    <t>WAMSTECH</t>
  </si>
  <si>
    <t>FR0053</t>
  </si>
  <si>
    <t>VINNY</t>
  </si>
  <si>
    <t>FR0054</t>
  </si>
  <si>
    <t>CREATIVE SARL</t>
  </si>
  <si>
    <t>FR0055</t>
  </si>
  <si>
    <t>NSIA ASSURANCES</t>
  </si>
  <si>
    <t>FR0056</t>
  </si>
  <si>
    <t>NJTAM ISO</t>
  </si>
  <si>
    <t>FR0057</t>
  </si>
  <si>
    <t>ETS KEMF</t>
  </si>
  <si>
    <t>FR0058</t>
  </si>
  <si>
    <t>AFRILUX</t>
  </si>
  <si>
    <t>FR0059</t>
  </si>
  <si>
    <t>BYTES CORP</t>
  </si>
  <si>
    <t>FR0060</t>
  </si>
  <si>
    <t>EXCEL TECH CENTER</t>
  </si>
  <si>
    <t>FR0061</t>
  </si>
  <si>
    <t>DESIRE ETONDE</t>
  </si>
  <si>
    <t>FR0062</t>
  </si>
  <si>
    <t>SAAR ASSURANCES</t>
  </si>
  <si>
    <t>FR0063</t>
  </si>
  <si>
    <t>AFRICA HR SOLUTIONS</t>
  </si>
  <si>
    <t>FR0064</t>
  </si>
  <si>
    <t>GICAM</t>
  </si>
  <si>
    <t>FR0065</t>
  </si>
  <si>
    <t>MEKEIDJE ROGER</t>
  </si>
  <si>
    <t>FR0066</t>
  </si>
  <si>
    <t>GEIT</t>
  </si>
  <si>
    <t>FR0067</t>
  </si>
  <si>
    <t>SAGE</t>
  </si>
  <si>
    <t>FR0069</t>
  </si>
  <si>
    <t>3S MOTORS</t>
  </si>
  <si>
    <t>FR0070</t>
  </si>
  <si>
    <t>UGIB-BAILLEUR EYSETTE</t>
  </si>
  <si>
    <t>FR0071</t>
  </si>
  <si>
    <t>ELTA VOYAGES</t>
  </si>
  <si>
    <t>FR0072</t>
  </si>
  <si>
    <t>JING &amp; PARTNERS</t>
  </si>
  <si>
    <t>FR0073</t>
  </si>
  <si>
    <t>KOUATCHOU MANFRED</t>
  </si>
  <si>
    <t>FR0074</t>
  </si>
  <si>
    <t>CONSULTANT RAUVEX</t>
  </si>
  <si>
    <t>FR0075</t>
  </si>
  <si>
    <t>CONSULTANT LOBEKE</t>
  </si>
  <si>
    <t>FR0076</t>
  </si>
  <si>
    <t>NOW TECHNOLOGIES</t>
  </si>
  <si>
    <t>FR0077</t>
  </si>
  <si>
    <t>ACTIVA ASSURANCES</t>
  </si>
  <si>
    <t>FR0078</t>
  </si>
  <si>
    <t>INTEL MULTI SERVICES</t>
  </si>
  <si>
    <t>FR0079</t>
  </si>
  <si>
    <t>CONCEPTION IMMO</t>
  </si>
  <si>
    <t>FR0081</t>
  </si>
  <si>
    <t>KIA MOTOTRS SA</t>
  </si>
  <si>
    <t>FR0082</t>
  </si>
  <si>
    <t>INNOVA PURE WATER</t>
  </si>
  <si>
    <t>FR0083</t>
  </si>
  <si>
    <t>CONSULTANT KMT</t>
  </si>
  <si>
    <t>FR0084</t>
  </si>
  <si>
    <t>MFI CAMEROON</t>
  </si>
  <si>
    <t>FR0085</t>
  </si>
  <si>
    <t>ICEBERG PLUS</t>
  </si>
  <si>
    <t>FR0086</t>
  </si>
  <si>
    <t>SOCIETE CIVILE IMMOBILIERE TENEMIN</t>
  </si>
  <si>
    <t>FR0087</t>
  </si>
  <si>
    <t>GARAGE UNIVERSEL</t>
  </si>
  <si>
    <t>FR0088</t>
  </si>
  <si>
    <t>A2 HOSTING</t>
  </si>
  <si>
    <t>FR0089</t>
  </si>
  <si>
    <t>KEYTECH COMPANY LTD</t>
  </si>
  <si>
    <t>FR0099</t>
  </si>
  <si>
    <t>ETS TCHAKS ALL SERVICES</t>
  </si>
  <si>
    <t>FR0100</t>
  </si>
  <si>
    <t>METABIOTA APS CONSULTANT</t>
  </si>
  <si>
    <t>FR0101</t>
  </si>
  <si>
    <t>SANLAM CAMEROUN</t>
  </si>
  <si>
    <t>FR0102</t>
  </si>
  <si>
    <t>UPLINE SECURITIES CENTRAL AFRICA</t>
  </si>
  <si>
    <t>FR0103</t>
  </si>
  <si>
    <t>MOOD-COPORATE AND PERSONAL DESIGNING</t>
  </si>
  <si>
    <t>FR0104</t>
  </si>
  <si>
    <t>ORCA DOUALA CMR</t>
  </si>
  <si>
    <t>FR0105</t>
  </si>
  <si>
    <t>CONSULTANT VTIC</t>
  </si>
  <si>
    <t>FR0106</t>
  </si>
  <si>
    <t>CONSULTANT WWF</t>
  </si>
  <si>
    <t>FR0107</t>
  </si>
  <si>
    <t>VICTORIA TRADING &amp; INVESTMENT CO LTD</t>
  </si>
  <si>
    <t>FR0108</t>
  </si>
  <si>
    <t>CANAL +</t>
  </si>
  <si>
    <t>FR0109</t>
  </si>
  <si>
    <t>FORCE TYRE</t>
  </si>
  <si>
    <t>FR0110</t>
  </si>
  <si>
    <t>PERFECT SARL</t>
  </si>
  <si>
    <t>FR0111</t>
  </si>
  <si>
    <t>ISNOV SARL</t>
  </si>
  <si>
    <t>FR0112</t>
  </si>
  <si>
    <t>ELECT &amp; POWER ENG TECH (EPT)</t>
  </si>
  <si>
    <t>FR0113</t>
  </si>
  <si>
    <t>ANYBUG SOLUTIONS SYSTEMS</t>
  </si>
  <si>
    <t>FR0114</t>
  </si>
  <si>
    <t>RUPHINDO BUSINESS &amp; SERVICES</t>
  </si>
  <si>
    <t>FR0115</t>
  </si>
  <si>
    <t>GARAGE MONDIALE</t>
  </si>
  <si>
    <t>FR0116</t>
  </si>
  <si>
    <t>SMART SOLUTIONS</t>
  </si>
  <si>
    <t>FR0119</t>
  </si>
  <si>
    <t>TECH BALANCE</t>
  </si>
  <si>
    <t>FR0120</t>
  </si>
  <si>
    <t>CONSULTANT BVS</t>
  </si>
  <si>
    <t>FR0121</t>
  </si>
  <si>
    <t>INTEGRATED BINARY SYSTEMS</t>
  </si>
  <si>
    <t>FR0122</t>
  </si>
  <si>
    <t>AMERICAN SCHOOL OF DOUALA</t>
  </si>
  <si>
    <t>FR0123</t>
  </si>
  <si>
    <t>STAR LOGISTIQUE &amp; SECURITY</t>
  </si>
  <si>
    <t>FR0124</t>
  </si>
  <si>
    <t>RENAISSE SARL</t>
  </si>
  <si>
    <t>FR0125</t>
  </si>
  <si>
    <t>3C CAMEROUN</t>
  </si>
  <si>
    <t>FR0126</t>
  </si>
  <si>
    <t>ETS AMB</t>
  </si>
  <si>
    <t>FR0127</t>
  </si>
  <si>
    <t>KAMELEON PRINT AND MOTION</t>
  </si>
  <si>
    <t>FR0128</t>
  </si>
  <si>
    <t>2H SOFT TECHNOLOGIES</t>
  </si>
  <si>
    <t>FR0129</t>
  </si>
  <si>
    <t>JMDS TRACK</t>
  </si>
  <si>
    <t>FR0130</t>
  </si>
  <si>
    <t>K HOTEL DOUALA</t>
  </si>
  <si>
    <t>FR0131</t>
  </si>
  <si>
    <t>EDC INVESTMENT CORP</t>
  </si>
  <si>
    <t>FR0132</t>
  </si>
  <si>
    <t>MZ PARTNERS</t>
  </si>
  <si>
    <t>FR0133</t>
  </si>
  <si>
    <t>INEMO</t>
  </si>
  <si>
    <t>FR0134</t>
  </si>
  <si>
    <t>SUITCH</t>
  </si>
  <si>
    <t>FR0135</t>
  </si>
  <si>
    <t>OWLS SARL</t>
  </si>
  <si>
    <t>FR0136</t>
  </si>
  <si>
    <t>ORANGE HRM</t>
  </si>
  <si>
    <t>FR0137</t>
  </si>
  <si>
    <t>AMCHAM</t>
  </si>
  <si>
    <t>FR0138</t>
  </si>
  <si>
    <t>OrangeHRM</t>
  </si>
  <si>
    <t>FR0139</t>
  </si>
  <si>
    <t>FOURNISSEUR SPELT</t>
  </si>
  <si>
    <t>FR0140</t>
  </si>
  <si>
    <t>SKY AND OVER</t>
  </si>
  <si>
    <t>FR0141</t>
  </si>
  <si>
    <t>DEVREV</t>
  </si>
  <si>
    <t>FR0142</t>
  </si>
  <si>
    <t>VALCO</t>
  </si>
  <si>
    <t>FR0143</t>
  </si>
  <si>
    <t>BIA - PANIS</t>
  </si>
  <si>
    <t>FR0145</t>
  </si>
  <si>
    <t>HELENAMED</t>
  </si>
  <si>
    <t>FR0146</t>
  </si>
  <si>
    <t>UDEMY BUSINESS</t>
  </si>
  <si>
    <t>FR0147</t>
  </si>
  <si>
    <t xml:space="preserve">ZENLEADS (APOLLO.IO) </t>
  </si>
  <si>
    <t>FR0148</t>
  </si>
  <si>
    <t>GPA -MEMBERSHIP FOR PAYROLL ASSOCIATION</t>
  </si>
  <si>
    <t>FR0149</t>
  </si>
  <si>
    <t>WISESTAMP</t>
  </si>
  <si>
    <t>FR0150</t>
  </si>
  <si>
    <t>FR0151</t>
  </si>
  <si>
    <t xml:space="preserve">APPOSITE - ELECTRONIC SIGNATURE </t>
  </si>
  <si>
    <t>FR0152</t>
  </si>
  <si>
    <t xml:space="preserve">DEVELOPMENT AID </t>
  </si>
  <si>
    <t>FR0153</t>
  </si>
  <si>
    <t>RIDES AUTO</t>
  </si>
  <si>
    <t>FR0154</t>
  </si>
  <si>
    <t>SLIDEBEAN</t>
  </si>
  <si>
    <t>FR0156</t>
  </si>
  <si>
    <t>PADDLE NET</t>
  </si>
  <si>
    <t>FR0157</t>
  </si>
  <si>
    <t>Tiers à créer</t>
  </si>
  <si>
    <t>FR0158</t>
  </si>
  <si>
    <t>ICLAN</t>
  </si>
  <si>
    <t>FR0159</t>
  </si>
  <si>
    <t>KYKAYS TRAVEL</t>
  </si>
  <si>
    <t>FR0160</t>
  </si>
  <si>
    <t>ELEGAS</t>
  </si>
  <si>
    <t>FR0161</t>
  </si>
  <si>
    <t>GEO'S OPTIMAL ADVISORY</t>
  </si>
  <si>
    <t>FR0162</t>
  </si>
  <si>
    <t xml:space="preserve">BLUE STONE SERVICES </t>
  </si>
  <si>
    <t>FR0163</t>
  </si>
  <si>
    <t>STARLINK</t>
  </si>
  <si>
    <t>FR0164</t>
  </si>
  <si>
    <t xml:space="preserve">SCALE EDGE </t>
  </si>
  <si>
    <t>FR0165</t>
  </si>
  <si>
    <t>AFRIQUE CON</t>
  </si>
  <si>
    <t>FR0166</t>
  </si>
  <si>
    <t>BAO</t>
  </si>
  <si>
    <t>FR0167</t>
  </si>
  <si>
    <t xml:space="preserve">IBSIRE CORPORATE </t>
  </si>
  <si>
    <t>FR0168</t>
  </si>
  <si>
    <t>WHITE HOUSE RESTAURANT</t>
  </si>
  <si>
    <t>FR0169</t>
  </si>
  <si>
    <t>DHL</t>
  </si>
  <si>
    <t>FR0171</t>
  </si>
  <si>
    <t xml:space="preserve">URBAN ESTATE </t>
  </si>
  <si>
    <t>FR070</t>
  </si>
  <si>
    <t xml:space="preserve">STANFORDSEED </t>
  </si>
  <si>
    <t>Other</t>
  </si>
  <si>
    <t>INC01</t>
  </si>
  <si>
    <t>IOS CAM</t>
  </si>
  <si>
    <t>INC02</t>
  </si>
  <si>
    <t>INTEL HRC CIV</t>
  </si>
  <si>
    <t>INC03</t>
  </si>
  <si>
    <t>IOS CIV</t>
  </si>
  <si>
    <t>INC04</t>
  </si>
  <si>
    <t>BURKINA</t>
  </si>
  <si>
    <t>INC05</t>
  </si>
  <si>
    <t>MALI</t>
  </si>
  <si>
    <t>INC06</t>
  </si>
  <si>
    <t>CONGO</t>
  </si>
  <si>
    <t>INC07</t>
  </si>
  <si>
    <t>SENEGAL</t>
  </si>
  <si>
    <t>INC08</t>
  </si>
  <si>
    <t>IOS NIGER</t>
  </si>
  <si>
    <t>INC09</t>
  </si>
  <si>
    <t>SCI SPELT</t>
  </si>
  <si>
    <t>Code</t>
  </si>
  <si>
    <t>Journal name</t>
  </si>
  <si>
    <t>Cash</t>
  </si>
  <si>
    <t>CAS2</t>
  </si>
  <si>
    <t>CAISSE YDE</t>
  </si>
  <si>
    <t>Purch</t>
  </si>
  <si>
    <t>PURC</t>
  </si>
  <si>
    <t>PURCHASES</t>
  </si>
  <si>
    <t>General</t>
  </si>
  <si>
    <t>OPDC</t>
  </si>
  <si>
    <t>VARIOUS OPERATIONS</t>
  </si>
  <si>
    <t>FR001</t>
  </si>
  <si>
    <t>Fournisseurs divers</t>
  </si>
  <si>
    <t>FR002</t>
  </si>
  <si>
    <t>PERFECT IMMOBILIER</t>
  </si>
  <si>
    <t>FR003</t>
  </si>
  <si>
    <t>TEGUI SOOM CLEANING SERVICES</t>
  </si>
  <si>
    <t>FR008</t>
  </si>
  <si>
    <t>SUNU</t>
  </si>
  <si>
    <t>Employee</t>
  </si>
  <si>
    <t>TS001</t>
  </si>
  <si>
    <t>MIGUEL</t>
  </si>
  <si>
    <t>ACH</t>
  </si>
  <si>
    <t>ACHATS</t>
  </si>
  <si>
    <t>CAI</t>
  </si>
  <si>
    <t>CAISSE</t>
  </si>
  <si>
    <t>OD</t>
  </si>
  <si>
    <t>Opérations diverses</t>
  </si>
  <si>
    <t>Debit transaction</t>
  </si>
  <si>
    <t>Credit transaction</t>
  </si>
  <si>
    <t>Detail</t>
  </si>
  <si>
    <t>Capital propre</t>
  </si>
  <si>
    <t>CALLED UP,UNPAID CAPITAL</t>
  </si>
  <si>
    <t>SUBSCRIBED, PAID CAPITAL</t>
  </si>
  <si>
    <t>REPORT A NOUVEAU  CREDITEUR</t>
  </si>
  <si>
    <t>REPORT A NOUVEAU DEBITEUR</t>
  </si>
  <si>
    <t>RESULAT EN INST AFFECT BENEFICE</t>
  </si>
  <si>
    <t>RESULTAT EN INST AFFECT PERTE</t>
  </si>
  <si>
    <t>RESULTAT NET BENEFICE</t>
  </si>
  <si>
    <t>INSTALLATIONS GENERALES</t>
  </si>
  <si>
    <t>MATERIEL DE BUREAU</t>
  </si>
  <si>
    <t>MOBILIER DE BUREAU</t>
  </si>
  <si>
    <t>MATERIEL DE TRANSPORT</t>
  </si>
  <si>
    <t>DEPOT POUR LOYER D'AVANCE</t>
  </si>
  <si>
    <t>AUTRES DEPOTS ET CAUTIONNEMENTS</t>
  </si>
  <si>
    <t>AUTRES IMMO FINANCIERES</t>
  </si>
  <si>
    <t>AMORTISSEMENTS MATERIEL &amp; MOBILIERS</t>
  </si>
  <si>
    <t>AMORT MAT TRANSPORT</t>
  </si>
  <si>
    <t>Fournisseurs</t>
  </si>
  <si>
    <t>FOURNISSEURS ETRANGERS</t>
  </si>
  <si>
    <t>FOURNISSEURS FACTURES NON PARVENUES</t>
  </si>
  <si>
    <t>Clients</t>
  </si>
  <si>
    <t>AVANCES/ACOMPTES SUR SAL</t>
  </si>
  <si>
    <t>AVANCE/ACOMPTES SUR SAL INTEL</t>
  </si>
  <si>
    <t>AVANCE FONDS</t>
  </si>
  <si>
    <t>Remunération Dues IOS</t>
  </si>
  <si>
    <t>Remunérations dues MAD</t>
  </si>
  <si>
    <t>CNSS-PV</t>
  </si>
  <si>
    <t>CNSS-PF</t>
  </si>
  <si>
    <t>CNSS-AT</t>
  </si>
  <si>
    <t>CMU</t>
  </si>
  <si>
    <t>SERVICE MILITAIRE</t>
  </si>
  <si>
    <t>IMPOT SUR LE BENEFICE</t>
  </si>
  <si>
    <t>TVA COL SUR SERVICES</t>
  </si>
  <si>
    <t>TVA A PAYER</t>
  </si>
  <si>
    <t>CREDIT DE TVA</t>
  </si>
  <si>
    <t>TVA DEDUCT SUR SERVICES</t>
  </si>
  <si>
    <t>CONTR GENERALE DE SOLIDARITE</t>
  </si>
  <si>
    <t>IMPOTS SUR LES REVENU DES VAL MOBIL</t>
  </si>
  <si>
    <t>RETENUE SUR PRESTATAIRE A REVERSER</t>
  </si>
  <si>
    <t>IUTS</t>
  </si>
  <si>
    <t>RETENUE 1%</t>
  </si>
  <si>
    <t>TPA</t>
  </si>
  <si>
    <t xml:space="preserve"> INTERSOCIETES </t>
  </si>
  <si>
    <t>SH SUBSCRIBED, UNPAID CAPITAL</t>
  </si>
  <si>
    <t>ASSOCIE CPTE COURANT</t>
  </si>
  <si>
    <t>CLIENTS</t>
  </si>
  <si>
    <t>DEBITEURS DIVERS</t>
  </si>
  <si>
    <t>CABINET COULIBALY</t>
  </si>
  <si>
    <t>ICF DHS</t>
  </si>
  <si>
    <t>DEBOURS CLIENTS</t>
  </si>
  <si>
    <t>DEBOUR ASSURANCE MAD</t>
  </si>
  <si>
    <t>Remunération du Gérant</t>
  </si>
  <si>
    <t>MANDANT MAUVE</t>
  </si>
  <si>
    <t>CHARGE CONST D'AVANCE</t>
  </si>
  <si>
    <t>CHARGE CONSTATE D'AVANCE MAD</t>
  </si>
  <si>
    <t>PRODUITS COMPTABILISES D'AVANCE</t>
  </si>
  <si>
    <t>FOURNISSEURS D'INVESTISSEMENT</t>
  </si>
  <si>
    <t>ECOBANK</t>
  </si>
  <si>
    <t>PETTY CASH</t>
  </si>
  <si>
    <t>VIREMENTS INTERNES</t>
  </si>
  <si>
    <t>Total</t>
  </si>
  <si>
    <t>TOTAL CHARGES</t>
  </si>
  <si>
    <t>ACHATS FOURNITURES</t>
  </si>
  <si>
    <t>EAU PROFESSIONNELLE</t>
  </si>
  <si>
    <t>ELECTRICITE PROFESSIONEL</t>
  </si>
  <si>
    <t>AUTRES ENERGIES - CARBURANT</t>
  </si>
  <si>
    <t>FOURNITURE D'ENTRETIEN VEHICULE</t>
  </si>
  <si>
    <t>FOURNITURE D'ENTRETIEN BUREAU</t>
  </si>
  <si>
    <t>ACHAT FOURNITURE DE BUREAU</t>
  </si>
  <si>
    <t>FOURNITURE INFORMATIQUE</t>
  </si>
  <si>
    <t>ACHAT DE PETITS, MATERIELS ET OUTIL</t>
  </si>
  <si>
    <t>ACHAT DE SERVICE</t>
  </si>
  <si>
    <t>ACHATS EQUIPEMENTS</t>
  </si>
  <si>
    <t>TRANSPORT COURRIERS, COLIS</t>
  </si>
  <si>
    <t>FRAIS DE TAXI ET COURSES</t>
  </si>
  <si>
    <t>IMPRESSIONS &amp; PHOTOCOPIES</t>
  </si>
  <si>
    <t>FRAIS GARDIENNAGE</t>
  </si>
  <si>
    <t>***SOUS TRAITANCE</t>
  </si>
  <si>
    <t>LOCATIONS</t>
  </si>
  <si>
    <t>LOCATION&amp;CHARGES LOCATIVES DIVERSES</t>
  </si>
  <si>
    <t>CHARGES LOCATIVES DIVERSES A REFACT</t>
  </si>
  <si>
    <t>ENTRETIEN &amp; MAINTENANCE BUREAU</t>
  </si>
  <si>
    <t>MAINTENANC MATERIEL&amp;MOBILIER BUREAU</t>
  </si>
  <si>
    <t>MAINTENANCE VEHICULE</t>
  </si>
  <si>
    <t>MAINTENANCE MAT&amp;LOGICIEL INFORMATIQ</t>
  </si>
  <si>
    <t>AUTRES ENTRETIEN ET REPARATIONS</t>
  </si>
  <si>
    <t>PRIME D'ASSURANCE</t>
  </si>
  <si>
    <t>ASSURANCE TRANSPORT</t>
  </si>
  <si>
    <t>DOCUMENTATION GENERALE</t>
  </si>
  <si>
    <t>ANNONCES &amp; INSERTIONS</t>
  </si>
  <si>
    <t>CATALOGUES, IMPRIMES PUBLICITAIRES</t>
  </si>
  <si>
    <t>FOIRES &amp; EXPOSITIONS</t>
  </si>
  <si>
    <t>PUBLICATIONS</t>
  </si>
  <si>
    <t>CADEAUX A LA CLIENTELE</t>
  </si>
  <si>
    <t>AUTRES CHARGES DE PUBLICITE &amp; RELAT</t>
  </si>
  <si>
    <t>CREDIT DE COMMUNICATION</t>
  </si>
  <si>
    <t>CREDIT COMMUNICATION A REFACTURER</t>
  </si>
  <si>
    <t>FRAIS DE TELECOPIE</t>
  </si>
  <si>
    <t>FRAIS DE INTERNET</t>
  </si>
  <si>
    <t>FRAIS  INSTRUMENT MONNAIE ELECTRON</t>
  </si>
  <si>
    <t>Frais Bancaires</t>
  </si>
  <si>
    <t>HONORAIRES AUDITEUR</t>
  </si>
  <si>
    <t>HONORAIRE CONSULTANT A REFACTURER</t>
  </si>
  <si>
    <t>HONORAIRES JURIDIQUES</t>
  </si>
  <si>
    <t>HONORAIRES INFORMATIQUES</t>
  </si>
  <si>
    <t>HONORAIRES COMPTABLES &amp; FISCAUX</t>
  </si>
  <si>
    <t>honoraires divers</t>
  </si>
  <si>
    <t>AUTRES DIVER FRAIS</t>
  </si>
  <si>
    <t>DIVERS FRAIS A REFACTURER</t>
  </si>
  <si>
    <t>FRAIS DE RECRUTEMENT DU PERSONNEL</t>
  </si>
  <si>
    <t>DIVERS FRAIS TRANSLATION</t>
  </si>
  <si>
    <t>FRAIS SERVICES IMMIGRATION</t>
  </si>
  <si>
    <t>REDEVANCES LOGICIELS</t>
  </si>
  <si>
    <t>REDEVANCES SITES INTERNET</t>
  </si>
  <si>
    <t>Frais de déménagement</t>
  </si>
  <si>
    <t>FRAIS DE RESTAURATION</t>
  </si>
  <si>
    <t>MISSIONS</t>
  </si>
  <si>
    <t>MISSIONS CLIENTS A REFACTURER</t>
  </si>
  <si>
    <t>TAXES FONCIERS</t>
  </si>
  <si>
    <t>PATENTE</t>
  </si>
  <si>
    <t>CHARGES FISCALES SUR SAL MAD</t>
  </si>
  <si>
    <t>TAXES SUR SALAIRES INTEL</t>
  </si>
  <si>
    <t xml:space="preserve">TIMBRES </t>
  </si>
  <si>
    <t>AUTRES CHARGES FISCALES</t>
  </si>
  <si>
    <t>DROITS D'ENREGISTREMENT</t>
  </si>
  <si>
    <t>FRAIS DE VISA CLIENT MAD</t>
  </si>
  <si>
    <t>DROIT ENREGIS CONTRACT TRAVAIL MAD</t>
  </si>
  <si>
    <t>PENALITES FISCALES</t>
  </si>
  <si>
    <t>PERTE DE CHANGE</t>
  </si>
  <si>
    <t xml:space="preserve">FX REGLEMENT DEVISE CONSULTANCY </t>
  </si>
  <si>
    <t>PENALITES &amp; AMENDES PENALES</t>
  </si>
  <si>
    <t>INDEMNITE DE FONCTION</t>
  </si>
  <si>
    <t>DONS</t>
  </si>
  <si>
    <t>AUTRES CHARGES DIVERSES</t>
  </si>
  <si>
    <t>SALAIRE DE BASE MAD</t>
  </si>
  <si>
    <t>SALAIRE &amp; APPOINTEMENT INTEL</t>
  </si>
  <si>
    <t>PRIMES ET GRATIF MAD</t>
  </si>
  <si>
    <t>PRIMES ET GRATIF INTEL</t>
  </si>
  <si>
    <t>CONGES PAYES MAD</t>
  </si>
  <si>
    <t>CONGES PAYES INTEL</t>
  </si>
  <si>
    <t>INDEMNITE DE LICENCIEMENT MAD</t>
  </si>
  <si>
    <t>INDEMNITE  DE CAISSE</t>
  </si>
  <si>
    <t>INDEMNITE LOGEMENT MAD</t>
  </si>
  <si>
    <t>IND LOGEMENT INTEL</t>
  </si>
  <si>
    <t>INDEMNITE DE REPRESENTATION MAD</t>
  </si>
  <si>
    <t>INDEMNITE D'EXPATRIATION</t>
  </si>
  <si>
    <t>INDEMNITE TRANSPORT MAD</t>
  </si>
  <si>
    <t>IND TRANSPORT INTEL</t>
  </si>
  <si>
    <t>INDEMNITE MONTURE MAD</t>
  </si>
  <si>
    <t>AUTRES INDEMNITES MAD</t>
  </si>
  <si>
    <t>CHARGES SOCIALES MAD</t>
  </si>
  <si>
    <t>CHARGES SOCIALES INTEL</t>
  </si>
  <si>
    <t>JETONS DE PRESENCE</t>
  </si>
  <si>
    <t>SOINS ET PHARMACIE INTEL</t>
  </si>
  <si>
    <t>SOINS MEDICALE MAD</t>
  </si>
  <si>
    <t>ASSURANCE MALADIE INTEL</t>
  </si>
  <si>
    <t>ASSURANCES MALADIE MAD</t>
  </si>
  <si>
    <t>INTERET SUR PERTE DE CHANGE FINANCI</t>
  </si>
  <si>
    <t>DOTATIONS AUX IMMO CORP</t>
  </si>
  <si>
    <t>TOTAL 6</t>
  </si>
  <si>
    <t>TOTAL PRODUITS</t>
  </si>
  <si>
    <t>PAYROLL COST</t>
  </si>
  <si>
    <t>prestation</t>
  </si>
  <si>
    <t>PRESTATION SERVICES MAD</t>
  </si>
  <si>
    <t>PRESTATIONS SERVICES PAYROLL CALCUL</t>
  </si>
  <si>
    <t>PRESTATIONS SET UP FEES ON/OFF</t>
  </si>
  <si>
    <t>PRESTATIONS SERVICES CONSULTANT</t>
  </si>
  <si>
    <t>PRESTATIONS SERVICES ASSURANCE</t>
  </si>
  <si>
    <t>PRESTATTIONS SERVICES EXPENSES</t>
  </si>
  <si>
    <t>PRESTATIONS SERVICES IMMIGRATION</t>
  </si>
  <si>
    <t>PRESTATIONS SERVICES TRANSLATION</t>
  </si>
  <si>
    <t>PRESTATIONS SERVICES EMBAUCHE</t>
  </si>
  <si>
    <t>PRESTATIONS SERVICES TAX FILLING</t>
  </si>
  <si>
    <t>PRESTATIONS SERVICES BOOKEEPING</t>
  </si>
  <si>
    <t>PRESTATIONS SERVICES TAX COMPLIANCE</t>
  </si>
  <si>
    <t>PRESTATIONS SERVICES DIVERS</t>
  </si>
  <si>
    <t>PRODUITS ACCESOIRES</t>
  </si>
  <si>
    <t>TOTAL 70</t>
  </si>
  <si>
    <t>GAINS DE CHANGE</t>
  </si>
  <si>
    <t>AUTRES PRODUITS FINANCIERS</t>
  </si>
  <si>
    <t>TRSF GROSS SAL</t>
  </si>
  <si>
    <t>TRSF AUTRES CHARGES</t>
  </si>
  <si>
    <t>TRANSFERT CHARGES CONSULTANT</t>
  </si>
  <si>
    <t>FX CHARGED BACK/CONSULTANCY</t>
  </si>
  <si>
    <t>IMMIGRATION CHARGED BACK (DEBOURS)</t>
  </si>
  <si>
    <t>TRANSFERT CHARGES ASSURANCES</t>
  </si>
  <si>
    <t>TRANSFERT MISSION/REFACTUREE</t>
  </si>
  <si>
    <t>TRANSFERT DIVERSES CHARGES MAD</t>
  </si>
  <si>
    <t>TRANSFERT CHARGES MEDICALES MAD</t>
  </si>
  <si>
    <t>TOTAL 7</t>
  </si>
  <si>
    <t>Fournisseurs Divers</t>
  </si>
  <si>
    <t>3C CONSULTANT</t>
  </si>
  <si>
    <t>SWIRE OS CONSULTANT</t>
  </si>
  <si>
    <t>ORBIT</t>
  </si>
  <si>
    <t xml:space="preserve">CAMTEL </t>
  </si>
  <si>
    <t>LONGSTAR</t>
  </si>
  <si>
    <t>CONSULTANT PALLADIUM</t>
  </si>
  <si>
    <t>LANTA CONSULTANS-NJIE FERDINAND</t>
  </si>
  <si>
    <t>SCI PLANET</t>
  </si>
  <si>
    <t>ALDELIA CONSULTANT</t>
  </si>
  <si>
    <t>EQUILIBRE SALR</t>
  </si>
  <si>
    <t xml:space="preserve">CHE LOGISTIQUE MARITME SERVICES </t>
  </si>
  <si>
    <t>CONSULTANT METABIOTA</t>
  </si>
  <si>
    <t>NSIA ASSURANCE</t>
  </si>
  <si>
    <t>CONSULTANTS BIA</t>
  </si>
  <si>
    <t>CONSULTANT WARTSILA</t>
  </si>
  <si>
    <t>ACAM VIE</t>
  </si>
  <si>
    <t>G4S SECURITIES</t>
  </si>
  <si>
    <t>DELOITTE</t>
  </si>
  <si>
    <t>CONSULTANT AMT</t>
  </si>
  <si>
    <t>MARCSONS HOTELS AND RESORT</t>
  </si>
  <si>
    <t>AMT CONSULTANT</t>
  </si>
  <si>
    <t>GO AHEAD AFRICA</t>
  </si>
  <si>
    <t>ROYAL ONYX</t>
  </si>
  <si>
    <t>GARAGE MONDIAL</t>
  </si>
  <si>
    <t>2H SOFT-TECHNOLOGIES SARL</t>
  </si>
  <si>
    <t>ONE FORCE SECURITY</t>
  </si>
  <si>
    <t>CAMWATER</t>
  </si>
  <si>
    <t>ISNOV</t>
  </si>
  <si>
    <t>AVOCAT HYN</t>
  </si>
  <si>
    <t>FAMILLE MBA</t>
  </si>
  <si>
    <t>VTIC BAO</t>
  </si>
  <si>
    <t xml:space="preserve">SUN LIFE INSURANCE CANADA </t>
  </si>
  <si>
    <t xml:space="preserve">FLO CASH </t>
  </si>
  <si>
    <t xml:space="preserve">FRAXBIT </t>
  </si>
  <si>
    <t>FR037</t>
  </si>
  <si>
    <t>INTEL HRC</t>
  </si>
  <si>
    <t>OPD</t>
  </si>
  <si>
    <t>Operation Diverses</t>
  </si>
  <si>
    <t xml:space="preserve">	CAPITAL SOUSCRIT, APPELE, NON VERS</t>
  </si>
  <si>
    <t>CAPITAL SOUSCRIT,APPELLE,VERSE,..</t>
  </si>
  <si>
    <t>RESERVE LEGALE</t>
  </si>
  <si>
    <t xml:space="preserve">	REPORT A NOUVEAU CREDITEUR</t>
  </si>
  <si>
    <t xml:space="preserve">	PERTE NETTE A REPORTER</t>
  </si>
  <si>
    <t xml:space="preserve">	REPORT A NOUVEAU DEBITEUR</t>
  </si>
  <si>
    <t xml:space="preserve">	RESULTAT EN INSTANCE DAFFECTATION</t>
  </si>
  <si>
    <t xml:space="preserve">	RESULTAT NET BENEFICE</t>
  </si>
  <si>
    <t xml:space="preserve">	EMPRUNTS EQUIVALENT CREDIT BAIL</t>
  </si>
  <si>
    <t xml:space="preserve">	PROVISIONS POUR IMPOTS</t>
  </si>
  <si>
    <t>PROVISIONS IFS PASSIF</t>
  </si>
  <si>
    <t>IFS PROVISION</t>
  </si>
  <si>
    <t xml:space="preserve">	AMENAGEMENTS DES BUREAUX</t>
  </si>
  <si>
    <t xml:space="preserve">	MATERIEL DE BUREAU</t>
  </si>
  <si>
    <t xml:space="preserve">	MATERIEL INFORMATIQUE</t>
  </si>
  <si>
    <t xml:space="preserve">	MATERIEL BUREAUTIQUE</t>
  </si>
  <si>
    <t xml:space="preserve">	MOBILIER DE BUREAU</t>
  </si>
  <si>
    <t>MATERIEL DE TRANSPORT EN COURS</t>
  </si>
  <si>
    <t>AVANCE SUR IMMOBILISATION</t>
  </si>
  <si>
    <t>AUTRE PRETS AU PERSONNEL</t>
  </si>
  <si>
    <t>PART DE FONDS COMMUN DE PLACEMENT</t>
  </si>
  <si>
    <t xml:space="preserve">BONDS </t>
  </si>
  <si>
    <t>CAUTIONS LOYERS</t>
  </si>
  <si>
    <t xml:space="preserve">	DEPOTS POUR LOYER DAVANCE</t>
  </si>
  <si>
    <t xml:space="preserve">	DEPOTS POUR ELECTRICITE</t>
  </si>
  <si>
    <t xml:space="preserve">	DEPOTS POUR EAU</t>
  </si>
  <si>
    <t xml:space="preserve">	DEPOTS POUR LE GAZ</t>
  </si>
  <si>
    <t xml:space="preserve">	DEPOTS POUR LE TELEPHONE</t>
  </si>
  <si>
    <t xml:space="preserve">	AUTRES DEPOTS ET CAUTIONNEMENTS</t>
  </si>
  <si>
    <t>ACCRUED INTERESTS ON FINANCIAL INST</t>
  </si>
  <si>
    <t xml:space="preserve">	AMORTISSEMENT DES AMENAGEMENTS DE</t>
  </si>
  <si>
    <t xml:space="preserve">	AMORTISSEMENT DU MATEIREL DE BUREA</t>
  </si>
  <si>
    <t xml:space="preserve">	AMORTISSEMENT DU MATERIEL INFORMAT</t>
  </si>
  <si>
    <t xml:space="preserve">	AMORTISSEMENT DU MATERIEL BUREAUTI</t>
  </si>
  <si>
    <t xml:space="preserve">	AMORTISSEMENT DU MOBILIER DE BUREA</t>
  </si>
  <si>
    <t>AMORTISSEMENT MAT DE TRANSPORT</t>
  </si>
  <si>
    <t>FOURNISSEURS</t>
  </si>
  <si>
    <t xml:space="preserve">	FOURNISSEURS LOCAUX FACTURES NON P</t>
  </si>
  <si>
    <t>AVANCE FOURNISSEURS</t>
  </si>
  <si>
    <t xml:space="preserve">	CREANCES LITIGIEUSES</t>
  </si>
  <si>
    <t xml:space="preserve">	CREANCES DOUTEUSES</t>
  </si>
  <si>
    <t xml:space="preserve">	CLIENTS FACTURE PROFORMA</t>
  </si>
  <si>
    <t>ADVANCE SALARY IOS STAFF</t>
  </si>
  <si>
    <t xml:space="preserve">	AVANCE AU PERSONNEL PERSONNEL MAD</t>
  </si>
  <si>
    <t>ACOMPTE PERSONNEL IOS</t>
  </si>
  <si>
    <t>Rémunérations dues IOS</t>
  </si>
  <si>
    <t>Remunération dues MAD</t>
  </si>
  <si>
    <t>RET SUR SAL RETR COMPLEM</t>
  </si>
  <si>
    <t>RET SUR SAL ASSR VIE IHRC</t>
  </si>
  <si>
    <t xml:space="preserve">	PROVISIONS POUR CONGES A PAYER</t>
  </si>
  <si>
    <t xml:space="preserve">	PROVISIONS POUR GRATIFICATIONS A P</t>
  </si>
  <si>
    <t>Compte à créer</t>
  </si>
  <si>
    <t xml:space="preserve">	PRESTATIONS FAMILIALES</t>
  </si>
  <si>
    <t xml:space="preserve">	PENSION VIEILLESSE PATRONALE</t>
  </si>
  <si>
    <t xml:space="preserve">	ACCIDENT DE TRAVAIL</t>
  </si>
  <si>
    <t xml:space="preserve">	COTISATIONS SYNDICALES</t>
  </si>
  <si>
    <t>CHARGES SOCIAL A PAYER</t>
  </si>
  <si>
    <t xml:space="preserve">	ETAT, IMPOTS SUR LES SOCIETES</t>
  </si>
  <si>
    <t xml:space="preserve">	ETAT, TSR</t>
  </si>
  <si>
    <t xml:space="preserve">	TVA FACTUREE SUR PRESTATIONS</t>
  </si>
  <si>
    <t xml:space="preserve">	ETAT, TVA DUE</t>
  </si>
  <si>
    <t xml:space="preserve">	ETAT, IMPOT DUE SOLDE IS A PAYER</t>
  </si>
  <si>
    <t xml:space="preserve">	TVA RECUPERABLE SUR IMMOBILISATION</t>
  </si>
  <si>
    <t xml:space="preserve">	TVA RECUPERABLE SUR ACHATS DE BIEN</t>
  </si>
  <si>
    <t xml:space="preserve">	TVA RECUPERABLE SUR SERVICES</t>
  </si>
  <si>
    <t xml:space="preserve">	ETAT, RETENUE SUR LOYERS PAYES</t>
  </si>
  <si>
    <t>ETAT IS A REVERSER</t>
  </si>
  <si>
    <t>ETAT IS RETENUE A LA SOURCE</t>
  </si>
  <si>
    <t xml:space="preserve">	ETAT, IRPP</t>
  </si>
  <si>
    <t xml:space="preserve">	ETAT CFC</t>
  </si>
  <si>
    <t xml:space="preserve">	ETAT, FNE</t>
  </si>
  <si>
    <t xml:space="preserve">	ETAT, RAV</t>
  </si>
  <si>
    <t xml:space="preserve">	ETAT, TAXE DEVELOPPEMENT</t>
  </si>
  <si>
    <t>ETAT TVA RETENUE A LA SOURCE</t>
  </si>
  <si>
    <t>IRCM</t>
  </si>
  <si>
    <t xml:space="preserve">INTERSOCIETES </t>
  </si>
  <si>
    <t xml:space="preserve">	ASSOCIES, COMPTES COURANTS</t>
  </si>
  <si>
    <t xml:space="preserve">	ASSOCIES, INTERETS ECHUS</t>
  </si>
  <si>
    <t>DEBOURS MISSIONS CLIENTS</t>
  </si>
  <si>
    <t>DEBOURS ASSURANCES CLIENTS</t>
  </si>
  <si>
    <t xml:space="preserve">	DEBOURS ICF</t>
  </si>
  <si>
    <t>AUTRES DEBOURS</t>
  </si>
  <si>
    <t xml:space="preserve">DEBITEUR DIV </t>
  </si>
  <si>
    <t>SUNDRY DEBTORS</t>
  </si>
  <si>
    <t>REMUNERATION ADMIN</t>
  </si>
  <si>
    <t>MANDANT AFRIFERM</t>
  </si>
  <si>
    <t xml:space="preserve">	MANDANT METABIOTA</t>
  </si>
  <si>
    <t>MANDANT I ENGINEERING</t>
  </si>
  <si>
    <t xml:space="preserve">	MANDANT SWIRE OS</t>
  </si>
  <si>
    <t>MANDANTS 3C</t>
  </si>
  <si>
    <t>MANDANTS AFHR-PALLADIUM</t>
  </si>
  <si>
    <t>MANDANT</t>
  </si>
  <si>
    <t>MANDANT ICF IDDS</t>
  </si>
  <si>
    <t>MANDANT WRI</t>
  </si>
  <si>
    <t>MANDANT SWIRE PACIFIC</t>
  </si>
  <si>
    <t>MANDANTS TITANOBEL</t>
  </si>
  <si>
    <t>MANDANTS KAYZAL</t>
  </si>
  <si>
    <t xml:space="preserve">	CHARGES COMPTABILISEES D'AVANCE</t>
  </si>
  <si>
    <t>CHARGES CONSTATE D'AVANCES MAD</t>
  </si>
  <si>
    <t xml:space="preserve">	PRODUITS COMPTABILISES D'AVANCE</t>
  </si>
  <si>
    <t>BICEC</t>
  </si>
  <si>
    <t>ACCESS BANK</t>
  </si>
  <si>
    <t xml:space="preserve">	CAISSE INTOUCH</t>
  </si>
  <si>
    <t>CAISSE SUNEX</t>
  </si>
  <si>
    <t>VERTO XOF</t>
  </si>
  <si>
    <t>VERTO AUD</t>
  </si>
  <si>
    <t>VERTO USD</t>
  </si>
  <si>
    <t>VERTO CAD</t>
  </si>
  <si>
    <t>VERTO XAF</t>
  </si>
  <si>
    <t>VERTO EUR</t>
  </si>
  <si>
    <t>CAISSE DHS</t>
  </si>
  <si>
    <t xml:space="preserve">	VIREMENTS INTERNES BQUES - INTEL H</t>
  </si>
  <si>
    <t xml:space="preserve">	VIREMENTS INTERNES BQUES-CAI</t>
  </si>
  <si>
    <t xml:space="preserve">	EAU PROFESSIONNELLE</t>
  </si>
  <si>
    <t xml:space="preserve">	ELECTRICITE PROFESSIONNELLE</t>
  </si>
  <si>
    <t xml:space="preserve">	GASOIL</t>
  </si>
  <si>
    <t xml:space="preserve">	PRODUITS D'ENTRETIEN</t>
  </si>
  <si>
    <t xml:space="preserve">	FOURNITURES DE BUREAU</t>
  </si>
  <si>
    <t xml:space="preserve">	FOURNITURES INFORMATIQUES</t>
  </si>
  <si>
    <t xml:space="preserve">	AUTRES PETITS MATERIELS ET FOURNIT</t>
  </si>
  <si>
    <t>ACHATS ETUDES ET PRESTATIONS SER</t>
  </si>
  <si>
    <t xml:space="preserve">	VETEMENTS PROFESSIONNELS</t>
  </si>
  <si>
    <t xml:space="preserve">	VETEMENTS PROFESSIONELS A REFACTUR</t>
  </si>
  <si>
    <t>AUTRES ACHATS A REFACTURER</t>
  </si>
  <si>
    <t>FRAIS DE TRANSPORT</t>
  </si>
  <si>
    <t xml:space="preserve">	EXPEDITION EXPRESS</t>
  </si>
  <si>
    <t xml:space="preserve">	AFFRANCHISSEMENTS</t>
  </si>
  <si>
    <t xml:space="preserve">	FRAIS DE TAXI ET DE COURSES</t>
  </si>
  <si>
    <t xml:space="preserve">	PEAGES ROUTIERS</t>
  </si>
  <si>
    <t xml:space="preserve">	DEPLACEMENTS PAR TERRE CAMEROUN</t>
  </si>
  <si>
    <t xml:space="preserve">	DEPLACEMENTS PAR AIR CAMEROUN</t>
  </si>
  <si>
    <t xml:space="preserve">	FRAIS DE GARDIENNAGE BUREAUX</t>
  </si>
  <si>
    <t xml:space="preserve">	FRAIS DE PHOTOCOPIES ET SAISIES</t>
  </si>
  <si>
    <t xml:space="preserve">	TRAVAUX DIVERS EXECUTES PAR L'EXTE</t>
  </si>
  <si>
    <t xml:space="preserve">	LOCATIONS DE BUREAUX</t>
  </si>
  <si>
    <t xml:space="preserve">	LOCATIONS ET CHARGES LOCATIVES DIV</t>
  </si>
  <si>
    <t xml:space="preserve">	ENTRETIEN DES BATIMENTS PROFESSION</t>
  </si>
  <si>
    <t xml:space="preserve">	ENTRETIEN MOBILIER DE BUREAU</t>
  </si>
  <si>
    <t xml:space="preserve">	MAINTENANCE MATERIEL DE BUREAU</t>
  </si>
  <si>
    <t xml:space="preserve">	MAINTENANCE MATERIEL DE TRANSPORT</t>
  </si>
  <si>
    <t xml:space="preserve">	MAINTENANCE MATERIEL INFORMATIQUE</t>
  </si>
  <si>
    <t xml:space="preserve">	ASSURANCES MULTIRISQUES</t>
  </si>
  <si>
    <t xml:space="preserve">	ASSURANCES VOL EN COFFRE</t>
  </si>
  <si>
    <t xml:space="preserve">	ASSURANCE RESPONSABILITE CIVILE CH</t>
  </si>
  <si>
    <t xml:space="preserve">	JOURNAUX ET PUBLICATIONS GENERALES</t>
  </si>
  <si>
    <t xml:space="preserve">	AUTRES DOCUMENTATIONS GENERALES</t>
  </si>
  <si>
    <t xml:space="preserve">	HONORAIRES AGENCES DE PUBLICITE</t>
  </si>
  <si>
    <t xml:space="preserve">	INSERTIONS REVUES ET PRESSES</t>
  </si>
  <si>
    <t xml:space="preserve">	REDEVANCE RADIO, TV, AFFICHAGE</t>
  </si>
  <si>
    <t xml:space="preserve">	CATALOGUES ET IMPRIMES PUBLICITAIR</t>
  </si>
  <si>
    <t xml:space="preserve">	ARTICLES PUBLICITAIRES</t>
  </si>
  <si>
    <t xml:space="preserve">	FOIRES ET EXPOSITIONS</t>
  </si>
  <si>
    <t xml:space="preserve">	CADEAUX A LA CLIENTELE</t>
  </si>
  <si>
    <t xml:space="preserve">	CADEAUX DE FIN D'ANNEE</t>
  </si>
  <si>
    <t xml:space="preserve">	SPONSORING</t>
  </si>
  <si>
    <t xml:space="preserve">	AUTRES PUBLICITES ET RELATIONS PUB</t>
  </si>
  <si>
    <t xml:space="preserve">	FRAIS DE TELEPHONE PROFESSIONNEL</t>
  </si>
  <si>
    <t xml:space="preserve">	FRAIS DE TELEPHONE A REFACTURER</t>
  </si>
  <si>
    <t>FRAIS DE INTERNET PROFESSIONNELS</t>
  </si>
  <si>
    <t>FRAIS RETRAIT OM</t>
  </si>
  <si>
    <t xml:space="preserve">	COMMISSIONS ET FRAIS BANCAIRES</t>
  </si>
  <si>
    <t xml:space="preserve">	AUTRES SERVICES BANCAIRES</t>
  </si>
  <si>
    <t xml:space="preserve">	HONORAIRES ET TRAVAUX INFORMATIQUE</t>
  </si>
  <si>
    <t xml:space="preserve">	HONORAIRES VERIFICATEURS DE COMPTE</t>
  </si>
  <si>
    <t xml:space="preserve">	HONORAIRES CONSEILLERS JURIDIQUES</t>
  </si>
  <si>
    <t xml:space="preserve">	ASSISTANCE GENERALE</t>
  </si>
  <si>
    <t xml:space="preserve">	AUTRES HONORAIRES CONSEIL</t>
  </si>
  <si>
    <t xml:space="preserve">	FRAIS D'ACTES ET DE CONTENTIEUX</t>
  </si>
  <si>
    <t xml:space="preserve">	FRAIS DE CONSEILS ET D'ASSEMBLEES</t>
  </si>
  <si>
    <t xml:space="preserve">	DIVERS FRAIS</t>
  </si>
  <si>
    <t xml:space="preserve">	DIVERS FRAIS A REFACTURER</t>
  </si>
  <si>
    <t xml:space="preserve">	FRAIS DE SEMINAIRES ET DE RECYCLAG</t>
  </si>
  <si>
    <t xml:space="preserve">	FRAIS STAGES DE FORMATION</t>
  </si>
  <si>
    <t>REDEVANCES SITE INTERNET</t>
  </si>
  <si>
    <t xml:space="preserve">	COTISATIONS GICAM</t>
  </si>
  <si>
    <t xml:space="preserve">	FRAIS DE DEMENAGEMENT DU PERSONNEL</t>
  </si>
  <si>
    <t xml:space="preserve">	FRAIS DE RESTAURATION ET CAFES CAM</t>
  </si>
  <si>
    <t xml:space="preserve">	FRAIS DE COLLATIONS DIVERSES</t>
  </si>
  <si>
    <t xml:space="preserve">	CASSE-CROUTE ET PERDIEMS</t>
  </si>
  <si>
    <t xml:space="preserve">	RAFRAICHISSEMENTS DIRECTION</t>
  </si>
  <si>
    <t xml:space="preserve">	CASSE CROUTE A REFACTURER</t>
  </si>
  <si>
    <t xml:space="preserve">	AUTRES RECEPTIONS</t>
  </si>
  <si>
    <t xml:space="preserve">	MISSIONS ET HEBERGEMENT CAMEROUN</t>
  </si>
  <si>
    <t xml:space="preserve">	MISSIONS ET HEBERGEMENT A L'ETRANG</t>
  </si>
  <si>
    <t>FRAIS DE MISSION A REFACTURER</t>
  </si>
  <si>
    <t xml:space="preserve">	TAXES FONCIERES</t>
  </si>
  <si>
    <t xml:space="preserve">	PATENTES ET LICENCES</t>
  </si>
  <si>
    <t xml:space="preserve">	CFC &amp; FNE IOS</t>
  </si>
  <si>
    <t xml:space="preserve">	CFC &amp; FNE MAD</t>
  </si>
  <si>
    <t xml:space="preserve">	TIMBRES FISCAUX ET PAPIERS TIMBRES</t>
  </si>
  <si>
    <t xml:space="preserve">	DROITS DE MUTATION</t>
  </si>
  <si>
    <t xml:space="preserve">	TAXES SUR LES VEHICULES DE SOCIETE</t>
  </si>
  <si>
    <t xml:space="preserve">	VIGNETTES ET CARTES GRISES</t>
  </si>
  <si>
    <t xml:space="preserve">	AUTRES DROITS D'ENREGISTREMENT</t>
  </si>
  <si>
    <t xml:space="preserve">	AUTRES AMENDES ET PENALITES</t>
  </si>
  <si>
    <t>Autres Impots</t>
  </si>
  <si>
    <t xml:space="preserve">	FRAIS DE VISAS ET DIVERS PERMIS</t>
  </si>
  <si>
    <t xml:space="preserve">	VALEUR COMPTABLES CESSIONS COURANT</t>
  </si>
  <si>
    <t xml:space="preserve">	PERTES DE CHANGE SUR CREANCES</t>
  </si>
  <si>
    <t xml:space="preserve">	EMOLUMENTS DU PCA</t>
  </si>
  <si>
    <t xml:space="preserve">	POURBOIRES ET DONS</t>
  </si>
  <si>
    <t xml:space="preserve">	STAGES ACADEMIQUES ET DE VACANCES</t>
  </si>
  <si>
    <t xml:space="preserve">	DIFFERENCES DE REGLEMENTS</t>
  </si>
  <si>
    <t xml:space="preserve">	CHG PR DEP ET PROV A COURT TERME</t>
  </si>
  <si>
    <t xml:space="preserve">	SALAIRES IOS</t>
  </si>
  <si>
    <t xml:space="preserve">	SALAIRES MAD</t>
  </si>
  <si>
    <t xml:space="preserve">	PRIMES IOS</t>
  </si>
  <si>
    <t xml:space="preserve">	PRIMES MAD</t>
  </si>
  <si>
    <t xml:space="preserve">	CONGES PAYES IOS</t>
  </si>
  <si>
    <t xml:space="preserve">	CONGES PAYES MAD</t>
  </si>
  <si>
    <t>PROV CONGES IOS</t>
  </si>
  <si>
    <t>PROV CONGES MAD</t>
  </si>
  <si>
    <t xml:space="preserve">	INDEMNITES DE PREAVIS MAD</t>
  </si>
  <si>
    <t>INDEMNITE DE FIN DE CARRIERE - IOS</t>
  </si>
  <si>
    <t xml:space="preserve">	INDEMNITE DE LICENCIEMENT MAD</t>
  </si>
  <si>
    <t xml:space="preserve">	AUTRES REMUNERATIONS DIRECTES OUVR</t>
  </si>
  <si>
    <t xml:space="preserve">	INDEMNITE DE LOGEMENT IOS</t>
  </si>
  <si>
    <t xml:space="preserve">	INDEMNITE DE LOGEMENT MAD</t>
  </si>
  <si>
    <t>ELECTRICITY &amp; WATER IOS</t>
  </si>
  <si>
    <t>ELECTRICITY&amp; WATER MAD</t>
  </si>
  <si>
    <t xml:space="preserve">	INDEMNITE DE REPRESENTATION IOS</t>
  </si>
  <si>
    <t xml:space="preserve">	INDEMNITE DE REPRESENTATION MAD</t>
  </si>
  <si>
    <t>IND DOMESTICITE MAD</t>
  </si>
  <si>
    <t>IND DOMESTICITE STAFF</t>
  </si>
  <si>
    <t xml:space="preserve">	INDEMNITE DE TRANSPORT IOS</t>
  </si>
  <si>
    <t xml:space="preserve">	INDEMNITE DE TRANSPORT MAD</t>
  </si>
  <si>
    <t>NOURRITURE MAD</t>
  </si>
  <si>
    <t>NOURRITURE STAFF</t>
  </si>
  <si>
    <t>INTERNET &amp;TELEPHONE MAD</t>
  </si>
  <si>
    <t>INTERNET&amp; TELEPHONE STAFF</t>
  </si>
  <si>
    <t>CARBURANT MAD</t>
  </si>
  <si>
    <t>CARBURANT STAFF</t>
  </si>
  <si>
    <t>GARDIENNAGE STAFF</t>
  </si>
  <si>
    <t>GARDIENNAGE MAD</t>
  </si>
  <si>
    <t>IND VEHICULE MAD</t>
  </si>
  <si>
    <t>IND VEHICULE STAFF</t>
  </si>
  <si>
    <t>CHARGES SOCIALES PATR IOS</t>
  </si>
  <si>
    <t>CHARGES SOCIALES PATR MAD</t>
  </si>
  <si>
    <t>REMUNERATION DE L"EXPLOITANT</t>
  </si>
  <si>
    <t xml:space="preserve">	AUTRES OUVRES SOCIALES</t>
  </si>
  <si>
    <t xml:space="preserve">	MEDECINE DU TRAVAIL</t>
  </si>
  <si>
    <t xml:space="preserve">	SOINS MEDICAUX ET PHARMACIE</t>
  </si>
  <si>
    <t xml:space="preserve">	ASSURANCE MALADIE DU PERSONNEL</t>
  </si>
  <si>
    <t xml:space="preserve">	ASSURANCE INDIVIDUEL ACCIDENT</t>
  </si>
  <si>
    <t xml:space="preserve">	ARBRE DE NOEL</t>
  </si>
  <si>
    <t>PROVISION IFS</t>
  </si>
  <si>
    <t>MEDAILLE DE TRAVAIL</t>
  </si>
  <si>
    <t>DOTATIONS AUX AMORT DES IMMOS CORP</t>
  </si>
  <si>
    <t>MANAGEMENT FEES MAD</t>
  </si>
  <si>
    <t>MANAGEMENT FEES PAYROLL</t>
  </si>
  <si>
    <t>MANAGEMENT FEES TAX FILING</t>
  </si>
  <si>
    <t>MANAGEMENT FEES BOOKEEPING</t>
  </si>
  <si>
    <t>MANAGEMENT FEES DISBURSMENT</t>
  </si>
  <si>
    <t>MANAGEMENT FEES INSURANCE</t>
  </si>
  <si>
    <t>MANAGEMENT FEES EXPENSES</t>
  </si>
  <si>
    <t>SET UP FEES</t>
  </si>
  <si>
    <t>SWIRE PRESTATIONS</t>
  </si>
  <si>
    <t>**MANAGEMENT FEES</t>
  </si>
  <si>
    <t>REVENUE ZERO RATED</t>
  </si>
  <si>
    <t>REVENU NON RESIDENCE</t>
  </si>
  <si>
    <t>CHARGES SALARIALES</t>
  </si>
  <si>
    <t>PROVISION CONGES</t>
  </si>
  <si>
    <t>PROVISION 13E MOIS</t>
  </si>
  <si>
    <t>MANAGEMT FEES CORPORATE COMPLIANCE</t>
  </si>
  <si>
    <t>BANK FEES</t>
  </si>
  <si>
    <t>PROVISION END OF CAREER</t>
  </si>
  <si>
    <t>TOTAL 706</t>
  </si>
  <si>
    <t>OFFICE SPACE RENTAL</t>
  </si>
  <si>
    <t>SUNDRY REVENUE</t>
  </si>
  <si>
    <t xml:space="preserve">	PRODUITS DE CESSIONS COURANTES D'I</t>
  </si>
  <si>
    <t xml:space="preserve">	GAINS DE CHANGE SUR CREANCES</t>
  </si>
  <si>
    <t xml:space="preserve">	INDEMNITES D'ASSURANCES RECUES</t>
  </si>
  <si>
    <t>AUTRES REVENUS FINANCIERS</t>
  </si>
  <si>
    <t>PROVISION CONGE NON RESIDENCE</t>
  </si>
  <si>
    <t xml:space="preserve">	TRSF CHARGES SALARIALES</t>
  </si>
  <si>
    <t xml:space="preserve">	TRSF PROVISION CONGES</t>
  </si>
  <si>
    <t xml:space="preserve">	TRSF PROVISION 13è MOIS</t>
  </si>
  <si>
    <t xml:space="preserve">	TRSF - AUTRES CHARGES</t>
  </si>
  <si>
    <t>OTHER ADM PROVISIONS</t>
  </si>
  <si>
    <t>PROV END OF CAREER</t>
  </si>
  <si>
    <t>TSF CHG BANK FEES</t>
  </si>
  <si>
    <t>REPRISE PROV CONGES</t>
  </si>
  <si>
    <t xml:space="preserve">PROVISION IFC ACAMVIE </t>
  </si>
  <si>
    <t>VNC CORPORELLE</t>
  </si>
  <si>
    <t>IMPOT SUR LE RESULTAT</t>
  </si>
  <si>
    <t>AFRICA OUTSOURCING</t>
  </si>
  <si>
    <t>CABINET MOORE</t>
  </si>
  <si>
    <t>CABINET NOTAIRE NDIAYE</t>
  </si>
  <si>
    <t>FR004</t>
  </si>
  <si>
    <t>SERLOV CAR RENTAL</t>
  </si>
  <si>
    <t>FR006</t>
  </si>
  <si>
    <t>FOURNISSEUR DIVERS</t>
  </si>
  <si>
    <t>FR007</t>
  </si>
  <si>
    <t>FR009</t>
  </si>
  <si>
    <t>BAILLEUR_MAMAD MOUSTAPHA</t>
  </si>
  <si>
    <t>FR010</t>
  </si>
  <si>
    <t>ADS CONSULTANTS</t>
  </si>
  <si>
    <t>FR011</t>
  </si>
  <si>
    <t>JOHN SMART</t>
  </si>
  <si>
    <t>FR012</t>
  </si>
  <si>
    <t>EDDIE SENEKAL</t>
  </si>
  <si>
    <t>FR013</t>
  </si>
  <si>
    <t>CHAD BOWEN</t>
  </si>
  <si>
    <t>FR014</t>
  </si>
  <si>
    <t>HERBST RUDIGER</t>
  </si>
  <si>
    <t>FR015</t>
  </si>
  <si>
    <t>VAN SCHALKWYK</t>
  </si>
  <si>
    <t>FR016</t>
  </si>
  <si>
    <t>PIATER GUSTAV</t>
  </si>
  <si>
    <t>FR017</t>
  </si>
  <si>
    <t>CHASE CHARSLEY</t>
  </si>
  <si>
    <t>FR018</t>
  </si>
  <si>
    <t>ETTIENNE NORTIER</t>
  </si>
  <si>
    <t>FR019</t>
  </si>
  <si>
    <t>PRATT JOHN</t>
  </si>
  <si>
    <t>FR020</t>
  </si>
  <si>
    <t>EL AWAD AYMAN</t>
  </si>
  <si>
    <t>FR021</t>
  </si>
  <si>
    <t>BLAKE RAUTENBACH</t>
  </si>
  <si>
    <t>FR022</t>
  </si>
  <si>
    <t>DOUGLAS CONWAY</t>
  </si>
  <si>
    <t>FR023</t>
  </si>
  <si>
    <t>WESSEL VAN NIEKERK</t>
  </si>
  <si>
    <t>FR024</t>
  </si>
  <si>
    <t>MANYAWI MUDZINGWA</t>
  </si>
  <si>
    <t>FR025</t>
  </si>
  <si>
    <t>MMOLOKI MADIE</t>
  </si>
  <si>
    <t>FR026</t>
  </si>
  <si>
    <t>ZAMA ZWANE</t>
  </si>
  <si>
    <t>FR027</t>
  </si>
  <si>
    <t>MARK OGILVIE</t>
  </si>
  <si>
    <t>FR028</t>
  </si>
  <si>
    <t>FREDERIC DEMIER</t>
  </si>
  <si>
    <t>FR029</t>
  </si>
  <si>
    <t>SUNU ASSURANCES</t>
  </si>
  <si>
    <t>FR030</t>
  </si>
  <si>
    <t>TSAONE MACHENG</t>
  </si>
  <si>
    <t>FR031</t>
  </si>
  <si>
    <t>CHEIKH AHMADOU MBODJI</t>
  </si>
  <si>
    <t>FR032</t>
  </si>
  <si>
    <t>FR033</t>
  </si>
  <si>
    <t>SEN'EAU</t>
  </si>
  <si>
    <t>FR034</t>
  </si>
  <si>
    <t>SABLUX SERVICES</t>
  </si>
  <si>
    <t>FR035</t>
  </si>
  <si>
    <t>OLA ENERGY AMITIE</t>
  </si>
  <si>
    <t>FR036</t>
  </si>
  <si>
    <t>SONAC</t>
  </si>
  <si>
    <t xml:space="preserve">AD INFORMATIQUE </t>
  </si>
  <si>
    <t>FR038</t>
  </si>
  <si>
    <t>Jeffrey Bryan Drummond</t>
  </si>
  <si>
    <t>FR039</t>
  </si>
  <si>
    <t>Mark William Ross</t>
  </si>
  <si>
    <t>FR040</t>
  </si>
  <si>
    <t>Marco Hernandez</t>
  </si>
  <si>
    <t>FR041</t>
  </si>
  <si>
    <t>Mark Nicolson</t>
  </si>
  <si>
    <t>FR042</t>
  </si>
  <si>
    <t>Wood Frederick, Ryan</t>
  </si>
  <si>
    <t>FR043</t>
  </si>
  <si>
    <t>Adair, Ian</t>
  </si>
  <si>
    <t>FR044</t>
  </si>
  <si>
    <t>Le Roux, Shaun</t>
  </si>
  <si>
    <t>FR045</t>
  </si>
  <si>
    <t>Keeran Kommoty</t>
  </si>
  <si>
    <t>FR046</t>
  </si>
  <si>
    <t>Yscerp John Juatchon</t>
  </si>
  <si>
    <t>FR047</t>
  </si>
  <si>
    <t>East Tony</t>
  </si>
  <si>
    <t>FR048</t>
  </si>
  <si>
    <t>Treeby Russel</t>
  </si>
  <si>
    <t>FR049</t>
  </si>
  <si>
    <t>Cross Patrick</t>
  </si>
  <si>
    <t>FR050</t>
  </si>
  <si>
    <t>David Marshall</t>
  </si>
  <si>
    <t>FR051</t>
  </si>
  <si>
    <t>John Robert Leynes</t>
  </si>
  <si>
    <t>FR052</t>
  </si>
  <si>
    <t>Callum Kennedy</t>
  </si>
  <si>
    <t>FR053</t>
  </si>
  <si>
    <t>Sharpe Darren</t>
  </si>
  <si>
    <t>FR054</t>
  </si>
  <si>
    <t>Patel Rahdik</t>
  </si>
  <si>
    <t>FR055</t>
  </si>
  <si>
    <t>Kashish Sheth</t>
  </si>
  <si>
    <t>FR056</t>
  </si>
  <si>
    <t>Marie Finegan</t>
  </si>
  <si>
    <t>FR057</t>
  </si>
  <si>
    <t>James Murray</t>
  </si>
  <si>
    <t>FR058</t>
  </si>
  <si>
    <t>VanVliet Jacob</t>
  </si>
  <si>
    <t>FR059</t>
  </si>
  <si>
    <t>Vahora , Aman</t>
  </si>
  <si>
    <t>FR060</t>
  </si>
  <si>
    <t>Hermanus Van Lil</t>
  </si>
  <si>
    <t>FR061</t>
  </si>
  <si>
    <t>Lizel Kotze</t>
  </si>
  <si>
    <t>FR062</t>
  </si>
  <si>
    <t>Heekang Kim</t>
  </si>
  <si>
    <t>FR063</t>
  </si>
  <si>
    <t>Usman Niaz</t>
  </si>
  <si>
    <t>FR064</t>
  </si>
  <si>
    <t>Caaya Israel</t>
  </si>
  <si>
    <t>FR065</t>
  </si>
  <si>
    <t>Salminao Mauricio</t>
  </si>
  <si>
    <t>FR066</t>
  </si>
  <si>
    <t>Dize Edy</t>
  </si>
  <si>
    <t>FR067</t>
  </si>
  <si>
    <t>Bisnar May Chris</t>
  </si>
  <si>
    <t>FR068</t>
  </si>
  <si>
    <t>BACULI, Chrisaldo</t>
  </si>
  <si>
    <t>FR069</t>
  </si>
  <si>
    <t>PESCADOR, Elmer</t>
  </si>
  <si>
    <t>QUIOBE, Jose</t>
  </si>
  <si>
    <t>FR071</t>
  </si>
  <si>
    <t>MALAGA, Marvin</t>
  </si>
  <si>
    <t>FR072</t>
  </si>
  <si>
    <t>SEBARIOS, Rizzy</t>
  </si>
  <si>
    <t>FR073</t>
  </si>
  <si>
    <t>MALUSAY, Joseph</t>
  </si>
  <si>
    <t>FR074</t>
  </si>
  <si>
    <t>REYES, Dennis</t>
  </si>
  <si>
    <t>FR075</t>
  </si>
  <si>
    <t>TRISTEZA, Andie</t>
  </si>
  <si>
    <t>FR076</t>
  </si>
  <si>
    <t>CAPATE, Jonathon</t>
  </si>
  <si>
    <t>FR077</t>
  </si>
  <si>
    <t>CASIN, Gilbert</t>
  </si>
  <si>
    <t>FR078</t>
  </si>
  <si>
    <t>PORTO, Ronel</t>
  </si>
  <si>
    <t>FR079</t>
  </si>
  <si>
    <t>TORRIJAS, Jude</t>
  </si>
  <si>
    <t>FR080</t>
  </si>
  <si>
    <t>CORDERO, Dominador</t>
  </si>
  <si>
    <t>FR081</t>
  </si>
  <si>
    <t>MARGATE, Argel</t>
  </si>
  <si>
    <t>FR082</t>
  </si>
  <si>
    <t>MERCADO, Alex</t>
  </si>
  <si>
    <t>FR083</t>
  </si>
  <si>
    <t>OTICO, Noli</t>
  </si>
  <si>
    <t>FR084</t>
  </si>
  <si>
    <t>VIDAL, Jeprey</t>
  </si>
  <si>
    <t>FR095</t>
  </si>
  <si>
    <t>SAYE SYLL</t>
  </si>
  <si>
    <t>FR097</t>
  </si>
  <si>
    <t>MARTIN RIMMER</t>
  </si>
  <si>
    <t>FR098</t>
  </si>
  <si>
    <t>KANDJI DIEYE BERY</t>
  </si>
  <si>
    <t>FR100</t>
  </si>
  <si>
    <t>CONSULTANT ADS AFRICA NENDA</t>
  </si>
  <si>
    <t>Achats</t>
  </si>
  <si>
    <t>CAIS</t>
  </si>
  <si>
    <t>CAISSE CENTRAL</t>
  </si>
  <si>
    <t>INC9</t>
  </si>
  <si>
    <t>INTEL HRC COTE D'IVOIRE</t>
  </si>
  <si>
    <t>IOS05</t>
  </si>
  <si>
    <t>Capital</t>
  </si>
  <si>
    <t>Capital souscrit non appelé</t>
  </si>
  <si>
    <t>CAPITAL,SOUSCRIT,APPELE NON VERSE</t>
  </si>
  <si>
    <t>Capital souscrit appellé, versé</t>
  </si>
  <si>
    <t>CAPITAL, SOUSCRIT, APPELE VERSE</t>
  </si>
  <si>
    <t>REPORT A NOUVEAU CREDITEUR</t>
  </si>
  <si>
    <t>RESULTAT INST AFFECT BENEFICE</t>
  </si>
  <si>
    <t>RESULTAT INST AFFECT PERTE</t>
  </si>
  <si>
    <t>RESULTAT NET PERTE</t>
  </si>
  <si>
    <t>DETTE CREDIT BAIL</t>
  </si>
  <si>
    <t>INTERETS COURUS/DETTES LOCATIONS-AC</t>
  </si>
  <si>
    <t>ACTIF REGIME DE RETRAITE</t>
  </si>
  <si>
    <t>FRAIS DE DEVELOPPEMENT</t>
  </si>
  <si>
    <t>LOGICIELS</t>
  </si>
  <si>
    <t>SITES INTERNET</t>
  </si>
  <si>
    <t>MATERIEL INFORMATIQUE</t>
  </si>
  <si>
    <t>AUTRES PRETS AU PERSONNEL</t>
  </si>
  <si>
    <t>DEPOT ET CAUTIONNEMENT LOYER</t>
  </si>
  <si>
    <t>CAUTION DE RAPATRIEMENT EXPAT</t>
  </si>
  <si>
    <t>DEPOT A TERME</t>
  </si>
  <si>
    <t>AMORT FRAIS DEV CERT</t>
  </si>
  <si>
    <t>AMORT LOGICIELS</t>
  </si>
  <si>
    <t>AMORT AMENAGEMENT BUREAU</t>
  </si>
  <si>
    <t>AMORT MATERIEL BUREAU</t>
  </si>
  <si>
    <t>AMORT MATERIEL INFORMATIQUE</t>
  </si>
  <si>
    <t>AMORT MATERIEL DE TRANSPORT</t>
  </si>
  <si>
    <t>FOURNISSEURS-CONSULTANTS</t>
  </si>
  <si>
    <t>FOURNISSEURS-CHARGE DE FONCTIONNEMT</t>
  </si>
  <si>
    <t>FACT FOURN NON PARVENUES</t>
  </si>
  <si>
    <t>Avance Fournisseurs</t>
  </si>
  <si>
    <t>CREANCES LITIGIEUSES</t>
  </si>
  <si>
    <t>CREANCES DOUTEUSES</t>
  </si>
  <si>
    <t>CLIENTS,ACOMPTES&amp;AVANCES RECUS</t>
  </si>
  <si>
    <t>Personnel - Rémunérations dues</t>
  </si>
  <si>
    <t>AVANCES PERSONNEL INTEL</t>
  </si>
  <si>
    <t>AVANCES AU PERSONNEL MAD</t>
  </si>
  <si>
    <t>ACOMPTES AU PERSONNEL MAD</t>
  </si>
  <si>
    <t>AVANCES FRAIS &amp; FOURNITURES PERSONN</t>
  </si>
  <si>
    <t>REMUNERATIONS DUES INTEL</t>
  </si>
  <si>
    <t>REMUNERATIONS DUES MAD</t>
  </si>
  <si>
    <t>PROVISIONS POUR CONGES A PAYER</t>
  </si>
  <si>
    <t>PROVISIONS POUR 13Ã¨MOIS A PAYER</t>
  </si>
  <si>
    <t>DROITS FIN CONTRAT PERS MAD</t>
  </si>
  <si>
    <t>IPRES</t>
  </si>
  <si>
    <t xml:space="preserve">IPM </t>
  </si>
  <si>
    <t>CSS-PRESTATION FAM</t>
  </si>
  <si>
    <t>COTISATIONS SYNDICALES INTEL</t>
  </si>
  <si>
    <t>COT SYND CLIENTS MAD</t>
  </si>
  <si>
    <t>CHARGES SOCIALES/GRATIFS A PAYER</t>
  </si>
  <si>
    <t>CHARGES SOCIALES/CONGES A PAYER</t>
  </si>
  <si>
    <t>AUTRES CHARGES A PAYER</t>
  </si>
  <si>
    <t>ETAT,IMPOT SUR LES BENEFICES</t>
  </si>
  <si>
    <t>Etat-Impôts recouvrables sur tiers</t>
  </si>
  <si>
    <t>IMPOTS &amp; TAXES D'ETATS</t>
  </si>
  <si>
    <t>IMPOTS &amp; TAXES RECOUVRABLES/ASSOCIE</t>
  </si>
  <si>
    <t>DROITS DE DOUANES</t>
  </si>
  <si>
    <t>AUTRES IMPOTS ET TAXES INDIRECTS</t>
  </si>
  <si>
    <t>TVA FACTURE SUR PRESTATIONS DIRECTE</t>
  </si>
  <si>
    <t>TVA / FACTURES A ETABLIR</t>
  </si>
  <si>
    <t>Etat impôts sur les bénéfices</t>
  </si>
  <si>
    <t>TVA DUE</t>
  </si>
  <si>
    <t>ETAT,CREDIT DE TVA A REPORTER</t>
  </si>
  <si>
    <t>TVA RECUPERABLE SUR IMMOBILISATIONS</t>
  </si>
  <si>
    <t>TVA RECUPERABLE SUR ACHATS DE BIENS</t>
  </si>
  <si>
    <t>TVA RECUPERABLE SUR SERVICES</t>
  </si>
  <si>
    <t>TVA RECUPERABLE/FACTURES NON PARVEN</t>
  </si>
  <si>
    <t>ETAT, IMPOTS RETENUE A LA SOURCE</t>
  </si>
  <si>
    <t>ETAT, AUTRES IMPOTS DUES</t>
  </si>
  <si>
    <t>20% WHT ON CONSULTANTS</t>
  </si>
  <si>
    <t>5% WHT ON CONSULTANTS</t>
  </si>
  <si>
    <t>ETAT ACOMPTE IS RETENU A LA SOURCE</t>
  </si>
  <si>
    <t>TRIMF</t>
  </si>
  <si>
    <t>IRCM/WHT ON DIRECTORS FEE</t>
  </si>
  <si>
    <t>CFCE</t>
  </si>
  <si>
    <t>IMPOTS SUR REVENUE (ITS)</t>
  </si>
  <si>
    <t>CHARGES A PAYER</t>
  </si>
  <si>
    <t>APPORTEURS CAPITAL APPELE NON VER</t>
  </si>
  <si>
    <t>ASSOCIES, COMPTE COURANT PRINCIPAL</t>
  </si>
  <si>
    <t>ASSOCIES,DIVIDENDES A PAYER</t>
  </si>
  <si>
    <t>Compte d'attente</t>
  </si>
  <si>
    <t>DEBOURS FRAIS DE MISSIONS CLIENTS</t>
  </si>
  <si>
    <t>DEBOURS CLIENTS MAD</t>
  </si>
  <si>
    <t>FX COST @25 USD</t>
  </si>
  <si>
    <t>REMBOURSEMENT ASSURANCE MALADIE</t>
  </si>
  <si>
    <t>DNF</t>
  </si>
  <si>
    <t>DEBOURS ICF</t>
  </si>
  <si>
    <t>CREDITEUR DIVERS IOS</t>
  </si>
  <si>
    <t>CRED DIVERS ADS</t>
  </si>
  <si>
    <t>MANDANTS MSI</t>
  </si>
  <si>
    <t>PAYROLL BUFFER DEPOSITS</t>
  </si>
  <si>
    <t xml:space="preserve">MANDANTS BOTO </t>
  </si>
  <si>
    <t>MANDANTS AHRS</t>
  </si>
  <si>
    <t>MANDATAIRE NOTAIRE</t>
  </si>
  <si>
    <t>LOYERS CONST D'AV</t>
  </si>
  <si>
    <t>ASSUR CONST D'AV A REFACT</t>
  </si>
  <si>
    <t>AUTRES CHARGES CONST D'AV</t>
  </si>
  <si>
    <t>PRODUIT CONSTATE D'AVANCE -ASSURANC</t>
  </si>
  <si>
    <t>BANK OF DAKAR</t>
  </si>
  <si>
    <t>CAISSE SIEGE</t>
  </si>
  <si>
    <t>AUTRES VIREMENTS INTERNES</t>
  </si>
  <si>
    <t>EAU HABITATION</t>
  </si>
  <si>
    <t>ELECTRICITE PROFESSIONNEL</t>
  </si>
  <si>
    <t>ELECTRICITE HABITATION</t>
  </si>
  <si>
    <t>GASOIL,LUBRIFIANTS&amp;SUPER</t>
  </si>
  <si>
    <t>GASOIL GROUPE ELECTROGENE</t>
  </si>
  <si>
    <t>FOURNITURES D'ENTRETIENS VEHICULE</t>
  </si>
  <si>
    <t>FOURNITURE D'ENTRETIENS BUREAU</t>
  </si>
  <si>
    <t>FOURNITUR ENTRET GROUPE ELECTROGENE</t>
  </si>
  <si>
    <t>FOURNITURES DE BUREAU</t>
  </si>
  <si>
    <t>FOURNITURES INFORMATIQUES</t>
  </si>
  <si>
    <t>ACHATS DE PETITS MATERIELLES</t>
  </si>
  <si>
    <t>PETIT MATERIEL D'HABITATION</t>
  </si>
  <si>
    <t>FOURNITURES PETIT OUTILLAGE</t>
  </si>
  <si>
    <t>AUTRES PETITS MATERIELS ET FOURNITU</t>
  </si>
  <si>
    <t>ACHATS ETUDES &amp; PRESTATIONS DE SERV</t>
  </si>
  <si>
    <t>VETEMENTS PROFESSIONNELS</t>
  </si>
  <si>
    <t>TOTAL COMPTES 60</t>
  </si>
  <si>
    <t>TRANSPORT DU PERSONNEL</t>
  </si>
  <si>
    <t>TRANSPORT DE PLIS</t>
  </si>
  <si>
    <t>FRAIS DE TAXI ET DE COURSES</t>
  </si>
  <si>
    <t>DIVERS TRANSPORTS CAMEROUN</t>
  </si>
  <si>
    <t>DEPLACEMENT PAR AIR A L'ETRANGER</t>
  </si>
  <si>
    <t>TRANSPORT DIVERS A L'ETRANGER TAX</t>
  </si>
  <si>
    <t>TOTAL COMPTES 61</t>
  </si>
  <si>
    <t>FRAIS DE GARDIENAGE BUREAU</t>
  </si>
  <si>
    <t>FRAIS DE GARDIENAGE HABITATION</t>
  </si>
  <si>
    <t>FRAIS DE PHOTOCOPIES ET DE SAISIES</t>
  </si>
  <si>
    <t>TRAVAUX DIVERS EXECUTES PAR L'EXTER</t>
  </si>
  <si>
    <t>LOCATIONS DE BUREAUX</t>
  </si>
  <si>
    <t>LOYER PROFESSIONNEL 2</t>
  </si>
  <si>
    <t>LOCATIONS DE VEHICULES</t>
  </si>
  <si>
    <t>AUTRES LOCATIONS DE MATERIELS</t>
  </si>
  <si>
    <t>LOCATIONS ET CHARGES LOCATIVES DIVE</t>
  </si>
  <si>
    <t>REDEVANCE CREDIT BAIL MOBILIER</t>
  </si>
  <si>
    <t>ENTRETIEN DES BATIMENTS PROFESSIONN</t>
  </si>
  <si>
    <t>ENTRETIEN D'IMMEUBLES D'HABITATIONS</t>
  </si>
  <si>
    <t>ENTRETIEN MOBILIER DE BUREAU</t>
  </si>
  <si>
    <t>ENTRETIEN MOBILIER D'HABITATION</t>
  </si>
  <si>
    <t>MAINTENANCE MATERIEL DE BUREAU</t>
  </si>
  <si>
    <t>MAINTENANCE MATERIEL D'HABITATION</t>
  </si>
  <si>
    <t>MAINTENANCE MATERIEL DE TRANSPORT</t>
  </si>
  <si>
    <t>MAINTENANCE MATERIEL INFORMATIQUE</t>
  </si>
  <si>
    <t>MAINTENANCE LOGICIELS INFORMATIQUES</t>
  </si>
  <si>
    <t>MAINTENANCE GROUPE ELECTROGENE</t>
  </si>
  <si>
    <t>AUTRES ENTRETIENS ET REPARATIONS</t>
  </si>
  <si>
    <t>DIVERS ENTRETIENS BUREAUX</t>
  </si>
  <si>
    <t>ASSURANCE MULTIRISQUES</t>
  </si>
  <si>
    <t>ASSURANCE VEHICULE DE TRANSPORT</t>
  </si>
  <si>
    <t>ASSURANCE RESPONSIBILITE CIVIL CHE</t>
  </si>
  <si>
    <t>PRIME D'ASSURANCES DIVERSES</t>
  </si>
  <si>
    <t>ARTICLES PUBLICITAIRES</t>
  </si>
  <si>
    <t>HONORAIRES AGENCES DE PUBLICITES</t>
  </si>
  <si>
    <t>INSERTIONS REVUES ET PRESSES</t>
  </si>
  <si>
    <t>REDEVANCES RADIO,TV,AFFICHAGES</t>
  </si>
  <si>
    <t>CATALOGUES ET IMPRIMES PUBLICITAIR</t>
  </si>
  <si>
    <t>FOIRES ET EXPOSITIONS</t>
  </si>
  <si>
    <t>CADEAUX AUX CLIENTS</t>
  </si>
  <si>
    <t>AUTRES PUBLICITES ET RELATIONS PUB</t>
  </si>
  <si>
    <t>SPONSORING</t>
  </si>
  <si>
    <t>FRAIS DE TELEPHONE PROFESSIONNELS</t>
  </si>
  <si>
    <t>FRAIS DE TELEPHONE HABITATION</t>
  </si>
  <si>
    <t>FRAIS DE TELEPHONE A REFACTURER</t>
  </si>
  <si>
    <t>FRAIS INTERNET PROFESSIONNELS</t>
  </si>
  <si>
    <t>FRAIS INTERNET HABITATION</t>
  </si>
  <si>
    <t>TOTAL COMPTES 62</t>
  </si>
  <si>
    <t>FRAIS/INSTRUMENTS MONNAIE ELECTRONI</t>
  </si>
  <si>
    <t>COMMISSIONS ET FRAIS BANCAIRES</t>
  </si>
  <si>
    <t>AUTRES COMMISSIONS</t>
  </si>
  <si>
    <t>HONORAIRES VERIFICATEURS DE COMPTES</t>
  </si>
  <si>
    <t>HONORAIRES CONSEILLERS JURIDIQUES</t>
  </si>
  <si>
    <t>ASSISTANCE GENERALE</t>
  </si>
  <si>
    <t xml:space="preserve"> HONORAIRES CONSULTANT</t>
  </si>
  <si>
    <t>FRAIS ACTE ET DE CONTENTIEUX</t>
  </si>
  <si>
    <t>FRAIS DE CONSEILS ET D'ASSEMBLEES</t>
  </si>
  <si>
    <t>HONORAIRES ET TRAVAUX INFORMATIQUES</t>
  </si>
  <si>
    <t>AUTRES PRESTATIONS OCCASIONNELLES</t>
  </si>
  <si>
    <t>Commissions d'intermediaire</t>
  </si>
  <si>
    <t>DIVERS FRAIS D'IMMIGRATION</t>
  </si>
  <si>
    <t>AUTRES DIVERS FRAIS</t>
  </si>
  <si>
    <t>FRAIS DE SEMINAIRES ET DE RECYCLAGE</t>
  </si>
  <si>
    <t>FRAIS DE STAGES ET FORMATIONS</t>
  </si>
  <si>
    <t>REDEVANCE POUR SITES INTERNET</t>
  </si>
  <si>
    <t>SALAIRES PERSONNEL PRESTATIONS</t>
  </si>
  <si>
    <t>FRAIS DE RECRUITEMENT DU PERSONNEL</t>
  </si>
  <si>
    <t>FRAIS RECRUTEMENT PERSONNEL MAD</t>
  </si>
  <si>
    <t>FRAIS DE DEMENAGEMENT DU PERSONNEL</t>
  </si>
  <si>
    <t>RECEPTIONS IOS STAFF</t>
  </si>
  <si>
    <t>RECEPTION HOTE</t>
  </si>
  <si>
    <t>MISSIONS ET HEBERGEMENTS CAMEROUN</t>
  </si>
  <si>
    <t>TOTAL COMPTES 63</t>
  </si>
  <si>
    <t>TAXES FONCIERES</t>
  </si>
  <si>
    <t>PATENTES ET LICENCES</t>
  </si>
  <si>
    <t>TAXE SUR APPOINTEMENT&amp;SALAIRE INTEL</t>
  </si>
  <si>
    <t>TAXE SUR APPOINTEMENT &amp; SALAIRE MAD</t>
  </si>
  <si>
    <t>PEAGES ROUTIERS</t>
  </si>
  <si>
    <t>AUTRES IMPOT ET TAXES DIRECTS</t>
  </si>
  <si>
    <t>TAXES SUR LES REVENUES (TSR)</t>
  </si>
  <si>
    <t>DROIT DE MUTATION</t>
  </si>
  <si>
    <t>TIMBRE FISCAUX ET PAPIER TIMBRE</t>
  </si>
  <si>
    <t>TIMBRES FISCAUX IMMIGRATION SERVICE</t>
  </si>
  <si>
    <t>TAXES SUR LES VOITURES DE SOCIETES</t>
  </si>
  <si>
    <t>VIGNETTES ET CARTES GRISES</t>
  </si>
  <si>
    <t>DROIT D'ENREGISTREMENT LOYER</t>
  </si>
  <si>
    <t>DROIT ENREGIST CONTRACT EMBAUCH MAD</t>
  </si>
  <si>
    <t>PENALITE ASSIETTE IMPOT DIRECT</t>
  </si>
  <si>
    <t>PENALITE ASSIETTE IMPOT INDIRECT</t>
  </si>
  <si>
    <t>PENALITE RECOUVREMENT IMPOT DIRECT</t>
  </si>
  <si>
    <t>PENALITE RECOUVREMENT IMPOT INDIREC</t>
  </si>
  <si>
    <t>AUTRES AMENDES ET PENALITES</t>
  </si>
  <si>
    <t>FRAIS DE VISAS ET DIVERS PERMIS</t>
  </si>
  <si>
    <t>TOTAL COMPTES 64</t>
  </si>
  <si>
    <t>PERTES SUR CREANCES CLIENTS &amp; AUTRE</t>
  </si>
  <si>
    <t>VALEUR COMPTABLES CESSIONS COURANTE</t>
  </si>
  <si>
    <t>PERTES DE CHANGES SUR CREANCES</t>
  </si>
  <si>
    <t>FX COST REGLEMENT EN DEVISE</t>
  </si>
  <si>
    <t>PENALITES &amp; AMANDES</t>
  </si>
  <si>
    <t>REMUNERATIONS ADMINISTRATEURS</t>
  </si>
  <si>
    <t>POURBOIRES ET DONS</t>
  </si>
  <si>
    <t>OTHERS EXPENSES</t>
  </si>
  <si>
    <t>DIFFERENCE DE REGLEMENTS</t>
  </si>
  <si>
    <t>CHG PR DEP ET PROV A COURT TERME</t>
  </si>
  <si>
    <t>SALAIRES DE BASE INTEL</t>
  </si>
  <si>
    <t>SALAIRES DE BASE MAD</t>
  </si>
  <si>
    <t>SURSALAIRE SALAIRE MAD</t>
  </si>
  <si>
    <t>SURSALAIRE INTEL</t>
  </si>
  <si>
    <t>PRIMES ET GRATIFICATIONS INTEL</t>
  </si>
  <si>
    <t>PRIMES ET GRATIFICATIONS MAD</t>
  </si>
  <si>
    <t>INDEMNITES DE LICENCEMENT INTEL</t>
  </si>
  <si>
    <t>INDEMNITES DE LICENCEMENT MAD</t>
  </si>
  <si>
    <t>STAG ACADEMIQUES ET VACANCES INTEL</t>
  </si>
  <si>
    <t>AUTRES REMUNERATIONS DIRECT MAD</t>
  </si>
  <si>
    <t>OVERTIME MAD</t>
  </si>
  <si>
    <t>SENIORITY MAD</t>
  </si>
  <si>
    <t>SENIORITY INTEL</t>
  </si>
  <si>
    <t>OVERTIME INTEL</t>
  </si>
  <si>
    <t>INDEMNITE DE  LOGEMENT INTEL</t>
  </si>
  <si>
    <t>INDEMNITE DE LOGEMENT MAD</t>
  </si>
  <si>
    <t>IND DE REPRES INTEL</t>
  </si>
  <si>
    <t>IND DE REPRES MAD</t>
  </si>
  <si>
    <t>IND DE TRANSPORT INTEL</t>
  </si>
  <si>
    <t>IND DE TRANSP MAD</t>
  </si>
  <si>
    <t>AUTRES INDEMNITES INTEL</t>
  </si>
  <si>
    <t>INDEMNITE FIN CONTRAT MAD</t>
  </si>
  <si>
    <t>INDEMNITE KILOMETRIQUE</t>
  </si>
  <si>
    <t>CHARGE SOCIALE PATR INTEL</t>
  </si>
  <si>
    <t>CHARGE SOCIALE PATR MAD</t>
  </si>
  <si>
    <t>PERSONNEL INTERIMAIRE PRESTATIONS</t>
  </si>
  <si>
    <t>PERSONNEL INTERIMAIRE MAD</t>
  </si>
  <si>
    <t>ARBRE DE NOEL</t>
  </si>
  <si>
    <t>VERSEMENTS &amp;CONTRI OEUVRES SOCIALES</t>
  </si>
  <si>
    <t>MEDICINE DU TRAVAIL</t>
  </si>
  <si>
    <t>SOINS MEDICAUX ET PHARMACIE</t>
  </si>
  <si>
    <t>ASSURANCE MALADI DU PERSONNEL INTEL</t>
  </si>
  <si>
    <t>ASSURANCE MALADIE DU PERSONNEL MAD</t>
  </si>
  <si>
    <t>TOTAL COMPTES 66</t>
  </si>
  <si>
    <t>INTERETS SUR CREDIT BAIL</t>
  </si>
  <si>
    <t>PERTES DE CHANGES FINANCIERES</t>
  </si>
  <si>
    <t>PERTE &amp; RISQUES / OPERATIONS FINANC</t>
  </si>
  <si>
    <t>DOTAT. AUX AMORTS SUR IMMO INCORP</t>
  </si>
  <si>
    <t>DOT AUX AMORTS SUR IMMO CORP</t>
  </si>
  <si>
    <t xml:space="preserve">PAYROLL COST </t>
  </si>
  <si>
    <t>PRESTATTIONS SERVICES PAYROLL</t>
  </si>
  <si>
    <t>PRESTATIONS TAX FILLING</t>
  </si>
  <si>
    <t>PRESTATIONS SERVICES ASSURANCES</t>
  </si>
  <si>
    <t>PRESTATIONS SERVICES SUR EXPENSES</t>
  </si>
  <si>
    <t>PRESTATIONS DIVERS SERVICES</t>
  </si>
  <si>
    <t>CORPORATE COMPLIANCE</t>
  </si>
  <si>
    <t>CHIFFRES D'AFFAIRES EXONERES</t>
  </si>
  <si>
    <t>SALAIRE BRUT CONSULTANT</t>
  </si>
  <si>
    <t>INSURANCE COST</t>
  </si>
  <si>
    <t>EXPENSE</t>
  </si>
  <si>
    <t>REVENUE COMPROMISE AGREEMENT</t>
  </si>
  <si>
    <t>**PRESTATIONS DE SERVICES</t>
  </si>
  <si>
    <t>PRODUITS ACCESSOIRES</t>
  </si>
  <si>
    <t>TOTAL VENTES</t>
  </si>
  <si>
    <t>GAINS DE CHANGE SUR CREANCES</t>
  </si>
  <si>
    <t>INDEMNITES D'ASSURANCES RECUS</t>
  </si>
  <si>
    <t>REVENUS AUTRES TITRES IMMOBILISES</t>
  </si>
  <si>
    <t>TRANSFERT SALAIRE TOTAL</t>
  </si>
  <si>
    <t>TRANSFERT PROV CONGES</t>
  </si>
  <si>
    <t>TRANSFERT PROV 13 EMES MOIS</t>
  </si>
  <si>
    <t>TRANSFERT AUTRES CHARGES</t>
  </si>
  <si>
    <t>FX COST INCURRED ON PAYROLL</t>
  </si>
  <si>
    <t>IMPOT SUR L'EXERCICE</t>
  </si>
  <si>
    <t>401ACTIVA</t>
  </si>
  <si>
    <t>ACTIVA ASSURANCE</t>
  </si>
  <si>
    <t>401CENCO</t>
  </si>
  <si>
    <t>CONFERENCE EPISCOPALE NATIONAL DU CONGO</t>
  </si>
  <si>
    <t>401DIVERS</t>
  </si>
  <si>
    <t>401FD</t>
  </si>
  <si>
    <t>ACTIVA</t>
  </si>
  <si>
    <t>401SONA</t>
  </si>
  <si>
    <t>BENARD SONA</t>
  </si>
  <si>
    <t>PAPETERIE</t>
  </si>
  <si>
    <t>403AVET</t>
  </si>
  <si>
    <t>AVETIUM CONSULT LIMITED</t>
  </si>
  <si>
    <t>DIVERS</t>
  </si>
  <si>
    <t>CAPITAL SOUSCRIT, NON APPELE</t>
  </si>
  <si>
    <t>CAPITAL SOUSCRIT, APPELE, NON VERSE</t>
  </si>
  <si>
    <t>CAPITAL SOUSCRIT, APPELE, VERSE</t>
  </si>
  <si>
    <t>AMENAGEMENTS DES BUREAUX</t>
  </si>
  <si>
    <t>MATERIEL BUREAUTIQUE</t>
  </si>
  <si>
    <t>VOITURE IST 5364 AF 19</t>
  </si>
  <si>
    <t>PRETS AU PERSONNEL</t>
  </si>
  <si>
    <t>AMORT MOBILER DE BUREAU</t>
  </si>
  <si>
    <t>AMORTISSEMENT MAT INFRORMATIQUE</t>
  </si>
  <si>
    <t>FOURNISSEURS LOCAUX</t>
  </si>
  <si>
    <t>CLIENTS LOCAUX</t>
  </si>
  <si>
    <t xml:space="preserve">CUSTOMERS ADVANCES RECEIVED </t>
  </si>
  <si>
    <t>AVANCES PERSONNEL IOS</t>
  </si>
  <si>
    <t>PERSONNEL ACOMPTES</t>
  </si>
  <si>
    <t>REMUNERATIONS DUES IOS</t>
  </si>
  <si>
    <t>RET ASSURANCE</t>
  </si>
  <si>
    <t>CNSS - AF 13%</t>
  </si>
  <si>
    <t>RISQUE PROFESSIONELLES</t>
  </si>
  <si>
    <t>SECURITE SOCIALE MALADIE</t>
  </si>
  <si>
    <t>CNSS 5%SAL +5%PAT</t>
  </si>
  <si>
    <t>ETAT, IMPOT SUR LES SOCIETES</t>
  </si>
  <si>
    <t>TVA FACTUREE SUR PRESTATIONS</t>
  </si>
  <si>
    <t>ETAT, TVA DUE</t>
  </si>
  <si>
    <t>RETENUE IS SUR PRESTATAIRES</t>
  </si>
  <si>
    <t>IPR MENSUEL</t>
  </si>
  <si>
    <t>INPP</t>
  </si>
  <si>
    <t>IRCM/WHT ON DIRECTOR'S FEES</t>
  </si>
  <si>
    <t>ONEM</t>
  </si>
  <si>
    <t>CONTRIBUTION NATIONALE</t>
  </si>
  <si>
    <t>TAXE D'EXPATRIATION</t>
  </si>
  <si>
    <t>TAXE FORMATION PROFESSIONNEL</t>
  </si>
  <si>
    <t>ILLNESS PENSION</t>
  </si>
  <si>
    <t>ETAT, AVANCE&amp;ACOMPTE VERSE SUR IMPÔ</t>
  </si>
  <si>
    <t>APPORTEURS, CAPITAL APPELE, NON VER</t>
  </si>
  <si>
    <t>ASSOCIES, COMPTE COURANT</t>
  </si>
  <si>
    <t>IOS RDC</t>
  </si>
  <si>
    <t>DEBOUR PENSION MAD</t>
  </si>
  <si>
    <t>DIRECTORS REMUNERATION DUE</t>
  </si>
  <si>
    <t>DEBOUR CLIENT MAD</t>
  </si>
  <si>
    <t>MANDANT BIC</t>
  </si>
  <si>
    <t>ICF-MEASURE MALARIA</t>
  </si>
  <si>
    <t>ICF-IDDS</t>
  </si>
  <si>
    <t>VELOCITY</t>
  </si>
  <si>
    <t>DEFERRED TAXES</t>
  </si>
  <si>
    <t>FRAIS PAYÉS D'AVANCE</t>
  </si>
  <si>
    <t>BANQUE (ECOBANK)</t>
  </si>
  <si>
    <t>BANQUE TMB</t>
  </si>
  <si>
    <t>CAISSE LOCALE</t>
  </si>
  <si>
    <t>VIREMENT INTERNES</t>
  </si>
  <si>
    <t>VIREMENTS INTERNES BANQUE SIEGE-BQ</t>
  </si>
  <si>
    <t>VIREMENTS BANQUE SIEGE CAISSE</t>
  </si>
  <si>
    <t>ACHATS FOURNITURES DE BUREAU STOCK</t>
  </si>
  <si>
    <t>ACHATS FOURNITURES INFORMATIQ STOCK</t>
  </si>
  <si>
    <t>FOURNITURES NON STOCKABLES-EAU</t>
  </si>
  <si>
    <t>ELECTRICITE</t>
  </si>
  <si>
    <t>GASOIL</t>
  </si>
  <si>
    <t>ACHAT PETIT MATERIEL &amp; OUTILLAGE</t>
  </si>
  <si>
    <t>ACHAT FOURNITUR &amp; OUTIL INFORMATIQ</t>
  </si>
  <si>
    <t>ACHAT DE SERVICES</t>
  </si>
  <si>
    <t>TEST COVID VOYAGEUR</t>
  </si>
  <si>
    <t xml:space="preserve"> Go pass RVA</t>
  </si>
  <si>
    <t>Taxe provincial pour voyageurs</t>
  </si>
  <si>
    <t>FRAIS DE PHOTOCOPIES ET SAISIE</t>
  </si>
  <si>
    <t>LOYER MENSUEL</t>
  </si>
  <si>
    <t>CHARGE LOCATIVE DIVERSE A REFACTURE</t>
  </si>
  <si>
    <t>MAINTENANCE MATER &amp; MOBILIER BUREAU</t>
  </si>
  <si>
    <t>MAINTENANCE VEHICULE MAINTENANCE</t>
  </si>
  <si>
    <t>ENTRETIEN BUREAU</t>
  </si>
  <si>
    <t>FRAIS TELEPHONE A REFACTURER</t>
  </si>
  <si>
    <t>FRAIS D'INTERNET</t>
  </si>
  <si>
    <t>FRAIS BANCAIRES</t>
  </si>
  <si>
    <t>HONORARIRES VERIFICATEUR DE COMPTES</t>
  </si>
  <si>
    <t>HONORAIRES CONSEILLERS JURIDQUES</t>
  </si>
  <si>
    <t>HONORAIRE CONSULTANT (A REFACTURER)</t>
  </si>
  <si>
    <t>AUTRES HONORAIRES CONSEIL</t>
  </si>
  <si>
    <t>DIVERS FRAIS</t>
  </si>
  <si>
    <t>FRAIS DE TRADUCTION</t>
  </si>
  <si>
    <t>REDEVANCES POUR LOGICIELS</t>
  </si>
  <si>
    <t>REDEVANCES POUR SITES INTERNET</t>
  </si>
  <si>
    <t>RECEPTION A REFACTURER</t>
  </si>
  <si>
    <t>MISSIONS A REFACTURER</t>
  </si>
  <si>
    <t>IMPOTS SUR SALAIRES MAD</t>
  </si>
  <si>
    <t>IMPOTS SUR SALAIRES INTEL</t>
  </si>
  <si>
    <t>AUTRES IMPOT &amp; TAXES DIRECT</t>
  </si>
  <si>
    <t xml:space="preserve">TIMBRES / SERVICE IMMIGRATION </t>
  </si>
  <si>
    <t>DROIT ENREGIST CONTRAT EMBAUCH MAD</t>
  </si>
  <si>
    <t>PENALITES IMPOTS ET CNPS</t>
  </si>
  <si>
    <t>PERTE DE CHANGE SUR CREANCE</t>
  </si>
  <si>
    <t>FX COST /REGLEMENT EN DEVISE</t>
  </si>
  <si>
    <t>ECART REGLMT</t>
  </si>
  <si>
    <t>DIRECOT'S FEES</t>
  </si>
  <si>
    <t>DONS &amp; POURBOIRES</t>
  </si>
  <si>
    <t xml:space="preserve">Autres charges diverses lettrage </t>
  </si>
  <si>
    <t>SALAIRE BASE INTEL</t>
  </si>
  <si>
    <t>SALAIRE BASE LOCAL MAD</t>
  </si>
  <si>
    <t>PRIMES INTEL</t>
  </si>
  <si>
    <t>IND PREAVIS, LICENCIEMENT</t>
  </si>
  <si>
    <t>ANCIENNETE INTEL</t>
  </si>
  <si>
    <t>ANCIENNETE MAD</t>
  </si>
  <si>
    <t>PRIMES &amp; GRATIFICATION MAD</t>
  </si>
  <si>
    <t>CONGES PAYES ETRANGERS</t>
  </si>
  <si>
    <t>INDEMNITE DE LOGEMENT INTEL</t>
  </si>
  <si>
    <t>INDEMNITE DE REPRESENTATION</t>
  </si>
  <si>
    <t>INDEMNITES D'EXPATRIATION</t>
  </si>
  <si>
    <t>INDEMNITE DE TRANSPORT INTEL</t>
  </si>
  <si>
    <t>INDEMNITE DE TRANSPORT MAD</t>
  </si>
  <si>
    <t>FRAIS MEDICAUX MAD</t>
  </si>
  <si>
    <t>AUTRES INDEMINTES MAD</t>
  </si>
  <si>
    <t>CNPS PATR MAD</t>
  </si>
  <si>
    <t>CNPS PATR INTEL</t>
  </si>
  <si>
    <t>ARBRE DE NOEL EMPLY</t>
  </si>
  <si>
    <t>MEDECINE DU TRAVAIL INTEL</t>
  </si>
  <si>
    <t>SOINS  &amp; PHARMACIE A REFACTURER</t>
  </si>
  <si>
    <t>ASSURACE MALADIE DU PERSONNEL</t>
  </si>
  <si>
    <t>INTERETS SUR DEPOT CREDITEURS</t>
  </si>
  <si>
    <t>DOTATION AU AMORT IMMO CORP</t>
  </si>
  <si>
    <t>PRESTATIONS SERVICES TAX FILING</t>
  </si>
  <si>
    <t>PRESTATIONS SERVICES WORK PERMIT/RE</t>
  </si>
  <si>
    <t>PRESTATIONS SERVICES PAYROLL</t>
  </si>
  <si>
    <t>PRESTATIONS SERVICES EXPENSES</t>
  </si>
  <si>
    <t>PRESTATIONS SERVICES DISBURSMENT</t>
  </si>
  <si>
    <t>PRESTATIONS AUTRES SERVICES</t>
  </si>
  <si>
    <t>Autres produits lettrage</t>
  </si>
  <si>
    <t>INTERETS SUR EPARGNE</t>
  </si>
  <si>
    <t>TRSF SAL BRUT</t>
  </si>
  <si>
    <t>TRANSFERT DE CHARGE ASSURANCE</t>
  </si>
  <si>
    <t>TRSF CHARGES PATR</t>
  </si>
  <si>
    <t>TRANSFERT MISSION</t>
  </si>
  <si>
    <t>TRANSFERT FRAIS MEDICAUX</t>
  </si>
  <si>
    <t>TRANSFERT CHARGES CONSULTANTS</t>
  </si>
  <si>
    <t>TRANSFERT FX/DEVISE</t>
  </si>
  <si>
    <t>CAISSE LOCAL RDC</t>
  </si>
  <si>
    <t>OPERATION DIVERS</t>
  </si>
  <si>
    <t>Report à nouveau créditeur</t>
  </si>
  <si>
    <t>Résultat exercice (perte)</t>
  </si>
  <si>
    <t>Matériel de bureau</t>
  </si>
  <si>
    <t>Matériel informatique</t>
  </si>
  <si>
    <t>Mobilier de bureau</t>
  </si>
  <si>
    <t>Matériel automobile</t>
  </si>
  <si>
    <t>PRET AU PERSONNEL</t>
  </si>
  <si>
    <t>Parts du fonds commun de placement</t>
  </si>
  <si>
    <t>CAUTION LOYER</t>
  </si>
  <si>
    <t>** Autres immobilisations financ.</t>
  </si>
  <si>
    <t>AMORTISSEMENT MATERIEL DE BUREAU</t>
  </si>
  <si>
    <t>AMORTISSEMENT MATERIEL INFORMATIQUE</t>
  </si>
  <si>
    <t>AMORTISSMENT MOBILIER DU BUREAU</t>
  </si>
  <si>
    <t>AMORTISSEMENT MATERIEL DE TRANSPORT</t>
  </si>
  <si>
    <t>Clients - avances et acomptes</t>
  </si>
  <si>
    <t>Personnel, avances IOS CI</t>
  </si>
  <si>
    <t>Avances au personnel MAD</t>
  </si>
  <si>
    <t xml:space="preserve">Rémunérations dues IOS </t>
  </si>
  <si>
    <t>Remunerations dues MAD</t>
  </si>
  <si>
    <t>Assistance médicale</t>
  </si>
  <si>
    <t>Allocations familiales</t>
  </si>
  <si>
    <t>RETENUE ASSURANCE</t>
  </si>
  <si>
    <t>AUTRES RETENUS IOS</t>
  </si>
  <si>
    <t>Personnel - Avances et acomptes</t>
  </si>
  <si>
    <t>PF-Prestations familiales</t>
  </si>
  <si>
    <t>AT- Accidents de travail</t>
  </si>
  <si>
    <t>Caisse de retraite obligatoire</t>
  </si>
  <si>
    <t>PV EMPLOYEUR</t>
  </si>
  <si>
    <t>CMU Autres cotisations sociales</t>
  </si>
  <si>
    <t>Taxe d'apprentissage</t>
  </si>
  <si>
    <t>Formation professionnelle continue</t>
  </si>
  <si>
    <t>IS employeur</t>
  </si>
  <si>
    <t xml:space="preserve"> TVA FACTURE SUR PRESTATION DIRECT</t>
  </si>
  <si>
    <t>État, T.V.A. due</t>
  </si>
  <si>
    <t>Impôt général sur le revenu</t>
  </si>
  <si>
    <t>TFPC</t>
  </si>
  <si>
    <t>TAX APPRENTISSAGE</t>
  </si>
  <si>
    <t>Impôts sur salaires</t>
  </si>
  <si>
    <t>20% WITHHOLDING TAX_CONSULTANT</t>
  </si>
  <si>
    <t>ITS</t>
  </si>
  <si>
    <t>Contribution nationale</t>
  </si>
  <si>
    <t>Autres impôts et contributions</t>
  </si>
  <si>
    <t>RETENU A LA SOURCE PPSSI</t>
  </si>
  <si>
    <t>INTERCOMPANY</t>
  </si>
  <si>
    <t>Charges à payer</t>
  </si>
  <si>
    <t>DEFERRED TAX ACCOUNT</t>
  </si>
  <si>
    <t>Débiteurs divers côte d'ivoire</t>
  </si>
  <si>
    <t>DEB DIVER ADS</t>
  </si>
  <si>
    <t>DEBOUR PENSIONS MAD</t>
  </si>
  <si>
    <t>Debours assurances MAD</t>
  </si>
  <si>
    <t>Autres debours</t>
  </si>
  <si>
    <t>CAR RENTAL</t>
  </si>
  <si>
    <t>WORK/RESIDENCE PERMIT</t>
  </si>
  <si>
    <t>FX TRANSACTION COST @25 USD</t>
  </si>
  <si>
    <t>CRED DIV ADS</t>
  </si>
  <si>
    <t>CRED DIV LYCO</t>
  </si>
  <si>
    <t>MANDANT WORKFORCE</t>
  </si>
  <si>
    <t>MANDANT RIVERMATE</t>
  </si>
  <si>
    <t>Charges constatées d'avance</t>
  </si>
  <si>
    <t>Produit constate d'avance</t>
  </si>
  <si>
    <t>CRÉANCES SUR CESSIONS D'IMMOBILISAT</t>
  </si>
  <si>
    <t>Chèques postaux - 1</t>
  </si>
  <si>
    <t>Banque principale IOS CI</t>
  </si>
  <si>
    <t>Banque opération IOS CI</t>
  </si>
  <si>
    <t>Banque IOS CI LYCOPODUIM</t>
  </si>
  <si>
    <t>EBUR_ EUR</t>
  </si>
  <si>
    <t>EBURY_CAD</t>
  </si>
  <si>
    <t>EBURY_AUD</t>
  </si>
  <si>
    <t>EBURY_USD</t>
  </si>
  <si>
    <t>EQUALS EURO</t>
  </si>
  <si>
    <t>EBURY_GBP</t>
  </si>
  <si>
    <t>EBURY_ZAR</t>
  </si>
  <si>
    <t>EBURY_PHP</t>
  </si>
  <si>
    <t>EBURY_AED</t>
  </si>
  <si>
    <t>Caisse locale</t>
  </si>
  <si>
    <t>Virements de fonds</t>
  </si>
  <si>
    <t>Achats Etudes/prestations services</t>
  </si>
  <si>
    <t xml:space="preserve"> Produits d'entretien</t>
  </si>
  <si>
    <t>Fournitures de bureau</t>
  </si>
  <si>
    <t>Achats Matériel, équipements, trav.</t>
  </si>
  <si>
    <t>Fournitures non stockables -Eau</t>
  </si>
  <si>
    <t>Fournitur non stockable Electricité</t>
  </si>
  <si>
    <t xml:space="preserve"> Fournit non stockable Autre énergi</t>
  </si>
  <si>
    <t>Achats de petit matériel et outilla</t>
  </si>
  <si>
    <t>AUTRE  PTE MATERIELS</t>
  </si>
  <si>
    <t xml:space="preserve"> Achats de travaux, matériels et éq</t>
  </si>
  <si>
    <t>** Achats</t>
  </si>
  <si>
    <t>FRAIS COURRIER</t>
  </si>
  <si>
    <t>Documentation générale</t>
  </si>
  <si>
    <t>FRAIS TAXI</t>
  </si>
  <si>
    <t>Documentation technique</t>
  </si>
  <si>
    <t>Transports administratifs</t>
  </si>
  <si>
    <t>** Services extérieurs</t>
  </si>
  <si>
    <t>Locations de bâtiments</t>
  </si>
  <si>
    <t>ENTRETIENS BUREAUX</t>
  </si>
  <si>
    <t>ENTRETIEN VEHICULES</t>
  </si>
  <si>
    <t xml:space="preserve"> Autres entretiens et réparations</t>
  </si>
  <si>
    <t>Déplacements, missions, réceptions</t>
  </si>
  <si>
    <t xml:space="preserve"> Assurances matériel de transport</t>
  </si>
  <si>
    <t>ASSUR RESP CIVIL</t>
  </si>
  <si>
    <t>Missions</t>
  </si>
  <si>
    <t>Réceptions</t>
  </si>
  <si>
    <t>Téléphone</t>
  </si>
  <si>
    <t>DOCUMENTATION GENERAL</t>
  </si>
  <si>
    <t xml:space="preserve">Documentation technique </t>
  </si>
  <si>
    <t>Services bancaires et assimilés</t>
  </si>
  <si>
    <t xml:space="preserve"> Catalogues, imprimés publicitaires</t>
  </si>
  <si>
    <t>Divers</t>
  </si>
  <si>
    <t xml:space="preserve"> Frais de téléphone</t>
  </si>
  <si>
    <t xml:space="preserve"> Autres frais de télécommunications</t>
  </si>
  <si>
    <t>Autres frais bancaires</t>
  </si>
  <si>
    <t>CONSULTANCY FEE</t>
  </si>
  <si>
    <t>OTHER PROF SERVICES</t>
  </si>
  <si>
    <t>DIVERS FRAIS IMMIGRATION</t>
  </si>
  <si>
    <t>FRAIS TRADUCTION</t>
  </si>
  <si>
    <t>FRAIS DE MISSIONS</t>
  </si>
  <si>
    <t>Patentes, licences et taxes annexes</t>
  </si>
  <si>
    <t>Taxes sur appointements et salaires</t>
  </si>
  <si>
    <t>Taxes appointement &amp; salaires INTEL</t>
  </si>
  <si>
    <t>Indemnités avantages divers</t>
  </si>
  <si>
    <t>Autres impots et taxes directs</t>
  </si>
  <si>
    <t>DROITS DE MUTATION</t>
  </si>
  <si>
    <t xml:space="preserve"> Droits de timbre</t>
  </si>
  <si>
    <t xml:space="preserve">TIMBRES IMMIGRATION </t>
  </si>
  <si>
    <t>VIGNETTES &amp; CARTE GRISE</t>
  </si>
  <si>
    <t>ENREGISTREMENT DE BAIL</t>
  </si>
  <si>
    <t>ENREGISTR CONTRAT EMBAUCHE</t>
  </si>
  <si>
    <t>Autres amendes pénales et fiscales</t>
  </si>
  <si>
    <t>UTRES AMENDES &amp; PENALITES</t>
  </si>
  <si>
    <t>FX /REGLEMENT EN DEVISE CONSULTANT</t>
  </si>
  <si>
    <t>Perte de change</t>
  </si>
  <si>
    <t>Director's remuneration</t>
  </si>
  <si>
    <t>DONS ET POURBOIS</t>
  </si>
  <si>
    <t>SALAIRES &amp; APPOINTEMENT MAD</t>
  </si>
  <si>
    <t>SALAIRES &amp; APPOINTEMENT IOS</t>
  </si>
  <si>
    <t>PRIMES IOS</t>
  </si>
  <si>
    <t>PRIMES MAD</t>
  </si>
  <si>
    <t>INDEM DE PREAVIS MAD</t>
  </si>
  <si>
    <t>IND DE LICENC MAD</t>
  </si>
  <si>
    <t>INDEMNITE DE LICENCIEMENT IOS</t>
  </si>
  <si>
    <t>INDEM LOGEMENT IOS</t>
  </si>
  <si>
    <t>IND DE LOGEMENTMAD</t>
  </si>
  <si>
    <t>ELEC &amp; EAU IOS</t>
  </si>
  <si>
    <t>INDEM DE REPRESENTATION</t>
  </si>
  <si>
    <t>IND DE REPRESENTATION MAD</t>
  </si>
  <si>
    <t>INDEM TRANSP IOS</t>
  </si>
  <si>
    <t>Autres indemnité et avantage divers</t>
  </si>
  <si>
    <t>AUTRES INDEM MAD</t>
  </si>
  <si>
    <t>CHARGES SOCIALES/SALAIRES MAD</t>
  </si>
  <si>
    <t>CHARGES SOCIALES / SALAIRES IOS</t>
  </si>
  <si>
    <t>REMUNER ADMINSTRA</t>
  </si>
  <si>
    <t>ASSUR MALADIE IOS</t>
  </si>
  <si>
    <t>ASSURANCE SANTE MAD</t>
  </si>
  <si>
    <t>Dot/amort. immob. corporelles</t>
  </si>
  <si>
    <t>DOTATION AUX AMORT. IMMOB CORP.</t>
  </si>
  <si>
    <t>REVENUE, TAX FILLING</t>
  </si>
  <si>
    <t>PRESTATIONS DE SERVICES</t>
  </si>
  <si>
    <t>Services prestations taxables</t>
  </si>
  <si>
    <t>REVENUE, CAR RENTAL</t>
  </si>
  <si>
    <t>REVENUE, CONSULTANT</t>
  </si>
  <si>
    <t>REVENUE,BOOKKEEPING</t>
  </si>
  <si>
    <t>REVENUE,PAYROLL</t>
  </si>
  <si>
    <t>REVENUE, SETUP FEES</t>
  </si>
  <si>
    <t>REVENUE - INSURANCE</t>
  </si>
  <si>
    <t>REVENUE - EXPENSES</t>
  </si>
  <si>
    <t>REVENUE-WOR/RESIDENCE PERMIT</t>
  </si>
  <si>
    <t>REVE NUE-COMPROMISE AGREEMENT</t>
  </si>
  <si>
    <t>DIVERS PRODUITS</t>
  </si>
  <si>
    <t>Gains de change opéra. commerciales</t>
  </si>
  <si>
    <t>Gain de change</t>
  </si>
  <si>
    <t>Produits divers de gestion courante</t>
  </si>
  <si>
    <t xml:space="preserve">GAINS DE CHANGE </t>
  </si>
  <si>
    <t>TRANSFER CHARGE CONSULTANT</t>
  </si>
  <si>
    <t>FX /REGLEMENT CONSULTANT REFACTURER</t>
  </si>
  <si>
    <t>Total payroll cost</t>
  </si>
  <si>
    <t>Provision congés</t>
  </si>
  <si>
    <t>Provision 13e mois</t>
  </si>
  <si>
    <t>TRANSFER CHARGE A REFACTURE</t>
  </si>
  <si>
    <t>** COMPTES DE PRODUITS</t>
  </si>
  <si>
    <t>VALEUR NET COMPTABLE IMMO CORPOREL</t>
  </si>
  <si>
    <t>PRODUIT CES IMMOB CORPORELLES</t>
  </si>
  <si>
    <t>REPRISES D’AMORTISSEMENTS</t>
  </si>
  <si>
    <t>IMPOTS SUR LE RESULTAT</t>
  </si>
  <si>
    <t>IVOIRE HAZOUME SOUROU</t>
  </si>
  <si>
    <t>IGM</t>
  </si>
  <si>
    <t>ICE TECH SARL</t>
  </si>
  <si>
    <t>SODECI</t>
  </si>
  <si>
    <t>LIBRAIRIE DE FRANCE GROUP</t>
  </si>
  <si>
    <t>CIE</t>
  </si>
  <si>
    <t>CONTRACTOR TAXATION LTD</t>
  </si>
  <si>
    <t>ASCOMA</t>
  </si>
  <si>
    <t>ORANGE COTE D'IVOIRE</t>
  </si>
  <si>
    <t>MTN COTE D'IVOIRE</t>
  </si>
  <si>
    <t>CENTRE MEDICAL CHENAL</t>
  </si>
  <si>
    <t>WASS RELOCATION</t>
  </si>
  <si>
    <t>CABINET MARCOS</t>
  </si>
  <si>
    <t>ALLIANZ CI</t>
  </si>
  <si>
    <t>AGENCE EMPLOI JEUNE</t>
  </si>
  <si>
    <t>ORCA DECO</t>
  </si>
  <si>
    <t>SFI LAMAGHARI</t>
  </si>
  <si>
    <t>HAROUNA IDE</t>
  </si>
  <si>
    <t>CORNERSTONE SUPPLIER</t>
  </si>
  <si>
    <t>UNIVERSAL SHOP</t>
  </si>
  <si>
    <t>SOCIDA</t>
  </si>
  <si>
    <t>MARC PHONES</t>
  </si>
  <si>
    <t>QUINCAILLERIE GENERALE AMERICAIN</t>
  </si>
  <si>
    <t>TOTAL ENERGIE COTE D'IVOIRE</t>
  </si>
  <si>
    <t>HEC ABIDJAN</t>
  </si>
  <si>
    <t>DASOM GROUP</t>
  </si>
  <si>
    <t>PAPIGRAPH CI</t>
  </si>
  <si>
    <t>ONECI</t>
  </si>
  <si>
    <t>Forde, Aidan</t>
  </si>
  <si>
    <t>Gilchrist, Jeff</t>
  </si>
  <si>
    <t>Sonda, James</t>
  </si>
  <si>
    <t>Stephens, Adrian</t>
  </si>
  <si>
    <t>Stevens, Eugene</t>
  </si>
  <si>
    <t>Williams, Craig</t>
  </si>
  <si>
    <t>MAZONNE MICHEAL</t>
  </si>
  <si>
    <t>LUKOSE TOM</t>
  </si>
  <si>
    <t>MAZLIN ANDREW</t>
  </si>
  <si>
    <t>DAYEKH HASSAN</t>
  </si>
  <si>
    <t>SOCOPRIX</t>
  </si>
  <si>
    <t>CHERIF SERVICES</t>
  </si>
  <si>
    <t>OASIS PRESTIGE CENTER</t>
  </si>
  <si>
    <t>SANLAM COTE D'IVOIRE</t>
  </si>
  <si>
    <t>Haynes, Bevan (ECG)</t>
  </si>
  <si>
    <t>Mburuma, Simbarashe</t>
  </si>
  <si>
    <t>JORDAN MCDERMID</t>
  </si>
  <si>
    <t>AFRICA DEPLOYMENTS</t>
  </si>
  <si>
    <t>DAVID GARDNER</t>
  </si>
  <si>
    <t>BANQUE ATLANTIQUE BENIN</t>
  </si>
  <si>
    <t>ETUDE DE MAITRE COULIBALY BENOIT</t>
  </si>
  <si>
    <t>TECHNICS GARAGE</t>
  </si>
  <si>
    <t>ALVIN GERALD AUSTRIA SALINGBAY</t>
  </si>
  <si>
    <t>CREMIN SEAN</t>
  </si>
  <si>
    <t>WILLIAM BESMONTE LOZANO</t>
  </si>
  <si>
    <t>ANDREW JOHN BAIN</t>
  </si>
  <si>
    <t>AMIR BOSE</t>
  </si>
  <si>
    <t>LAWSON MARK</t>
  </si>
  <si>
    <t>SKROZA ROBERT</t>
  </si>
  <si>
    <t>CASON AUBREY GAVIN</t>
  </si>
  <si>
    <t>GOPAL SHUBHAM</t>
  </si>
  <si>
    <t>GURJAR HRISHIKESH</t>
  </si>
  <si>
    <t>JAECK-AGHDASSI NICOLA</t>
  </si>
  <si>
    <t>KANES NICHOLAS</t>
  </si>
  <si>
    <t xml:space="preserve">HAMDY REZK ELSAYED MOHAMED </t>
  </si>
  <si>
    <t>SHEHATA AHMED MOHAMED</t>
  </si>
  <si>
    <t>VAN DER RYST, GERHARD</t>
  </si>
  <si>
    <t>MOHSAN ALI</t>
  </si>
  <si>
    <t>JOSHUA BUTTERWORTH</t>
  </si>
  <si>
    <t>TANYA CHAMBERLAIN</t>
  </si>
  <si>
    <t>RAYMOND MC GARRITY</t>
  </si>
  <si>
    <t>CARL ERNEST MONDELLO</t>
  </si>
  <si>
    <t>DANIEL ROSE MEYER</t>
  </si>
  <si>
    <t>SHIHENG WANG</t>
  </si>
  <si>
    <t>BAYONA JUAN JULIO CARRILLO</t>
  </si>
  <si>
    <t>MARLON GARCIA BERNAL</t>
  </si>
  <si>
    <t>KEH KRICHELLE MARIE</t>
  </si>
  <si>
    <t>MIKE LE CERF</t>
  </si>
  <si>
    <t>MAYELIA</t>
  </si>
  <si>
    <t>CENTRE DE GESTION INTEGRE</t>
  </si>
  <si>
    <t>NACCARIO MARY ANN</t>
  </si>
  <si>
    <t>SCINTO PAUL</t>
  </si>
  <si>
    <t>EBURY MASS PAYMENTS</t>
  </si>
  <si>
    <t>FMC</t>
  </si>
  <si>
    <t>EDM SARL</t>
  </si>
  <si>
    <t>EASE TRAVEL CI</t>
  </si>
  <si>
    <t>TAHA TECHNOLOGIE</t>
  </si>
  <si>
    <t>YAO Kouadio Roch Stephane</t>
  </si>
  <si>
    <t>DARREN SHARPE</t>
  </si>
  <si>
    <t>TRANSNUMERIK CANADA</t>
  </si>
  <si>
    <t xml:space="preserve">MAZZONE MICHAEL JAMES </t>
  </si>
  <si>
    <t>APANUI WAYNE MILTON</t>
  </si>
  <si>
    <t>ODHIAMBO O GADAPHY</t>
  </si>
  <si>
    <t>KEVIN CHARLES MORRIS</t>
  </si>
  <si>
    <t>ALEX VALLEJOS</t>
  </si>
  <si>
    <t>ARTHUR AND/OR LIZELLE MARCELINO</t>
  </si>
  <si>
    <t>ETUDE MAITRE CLEMENCE LASME SERIME</t>
  </si>
  <si>
    <t>SAAR CI</t>
  </si>
  <si>
    <t>IBRAHIM FROID DIVIN</t>
  </si>
  <si>
    <t>VITROLUX</t>
  </si>
  <si>
    <t>Klarizmaigne Bicol</t>
  </si>
  <si>
    <t>Claude Eeson</t>
  </si>
  <si>
    <t>Riaan van den Berg</t>
  </si>
  <si>
    <t>JACOBUS VAN WYNGAARAT</t>
  </si>
  <si>
    <t xml:space="preserve">LUKE GUIRA </t>
  </si>
  <si>
    <t>SAMUEL HERMAS</t>
  </si>
  <si>
    <t>CIELO CHARMAINE</t>
  </si>
  <si>
    <t>KWAKOU EMANUEL DZIOHN S</t>
  </si>
  <si>
    <t>NICOLA LAECK</t>
  </si>
  <si>
    <t>S/P ac to create</t>
  </si>
  <si>
    <t xml:space="preserve">BURKINA </t>
  </si>
  <si>
    <t>INTER HRC CIV</t>
  </si>
  <si>
    <t>INC10</t>
  </si>
  <si>
    <t>IOS DUBAI</t>
  </si>
  <si>
    <t>INC11</t>
  </si>
  <si>
    <t>CAS</t>
  </si>
  <si>
    <t>Caisse</t>
  </si>
  <si>
    <t>CAPITAL SOUSCRIT NON APPELE</t>
  </si>
  <si>
    <t>CAPITAL SOUSCRIT APPELE NON VERSE</t>
  </si>
  <si>
    <t xml:space="preserve">CAPITAL SOUSCRIT AP VERSE NON AMOR </t>
  </si>
  <si>
    <t>RESULTAT EN INSTANCE AFFECTA. BENEF</t>
  </si>
  <si>
    <t>MATERIEL ET MOBILIER</t>
  </si>
  <si>
    <t>AMORTISSEMENT INSTALLATION GENERALE</t>
  </si>
  <si>
    <t>FOURNISSEUR CONSOMMABLE&amp;SERVICE EXT</t>
  </si>
  <si>
    <t xml:space="preserve">FOURNISSEURS, CONSULTANTS </t>
  </si>
  <si>
    <t>FRAIS AVANCES AU PERSONNEL</t>
  </si>
  <si>
    <t>Pension Vieillesse</t>
  </si>
  <si>
    <t>Pension Familiale</t>
  </si>
  <si>
    <t>Accident de Travail</t>
  </si>
  <si>
    <t>ANPE</t>
  </si>
  <si>
    <t>CONTRIBUTION FORFAITAIRE 3%</t>
  </si>
  <si>
    <t>TAP 2% OU 4%</t>
  </si>
  <si>
    <t>APPORTEUR, CAPITAL APPELE NON VERSE</t>
  </si>
  <si>
    <t>CLIENTS MAD</t>
  </si>
  <si>
    <t>ICF</t>
  </si>
  <si>
    <t>MANDANT ADS</t>
  </si>
  <si>
    <t>PRODUITS D ENTRETIEN</t>
  </si>
  <si>
    <t>FOURNITURES D'ENTRETIEN BUREAU</t>
  </si>
  <si>
    <t>FOURNNITURE D'ENTRETIEN MAT TRANSPO</t>
  </si>
  <si>
    <t>FOURNITUR D'ENTRETIEN GROUP ELECTRO</t>
  </si>
  <si>
    <t>PHOTOCOPIES &amp; IMPRESSIONS</t>
  </si>
  <si>
    <t>FRAIS DE GARDIENNAGE</t>
  </si>
  <si>
    <t>MAINTENANC MAT &amp;MOBILIER DE BUREAU</t>
  </si>
  <si>
    <t>MAINTENANCE MAT TRANSPORT</t>
  </si>
  <si>
    <t>ENTRETIEN MATERIEL INFORMATIQUE</t>
  </si>
  <si>
    <t>ENTRETIEN LOGICIEL  INFORMATIQUE</t>
  </si>
  <si>
    <t>ASSUR VEHICULE</t>
  </si>
  <si>
    <t>TIMBRES SERVICES IMMIGRATION</t>
  </si>
  <si>
    <t>CATALOGUES &amp; IMPRIMES PUBLICITAIRES</t>
  </si>
  <si>
    <t>HONORAIRES VERIFICATEURS  COMPTES</t>
  </si>
  <si>
    <t>HONORAIRES &amp; TRAVAUX INFORMATIQUES</t>
  </si>
  <si>
    <t>FRAIS D'ACTES &amp; CONTENTIEUX</t>
  </si>
  <si>
    <t>FRAIS CONSEILS ADMIN &amp; ASSEMBLEES</t>
  </si>
  <si>
    <t>DIVERS FRAIS TRADUCTION</t>
  </si>
  <si>
    <t>MISSION A REFACTURER</t>
  </si>
  <si>
    <t>Charges fiscales sur sal</t>
  </si>
  <si>
    <t>CHARGES FISCALES SUR SAL INTEL</t>
  </si>
  <si>
    <t>ENREGIST CONTRAT EMBAUCHE MAD</t>
  </si>
  <si>
    <t>VIGNETTES</t>
  </si>
  <si>
    <t>PENALITES</t>
  </si>
  <si>
    <t>SALAIRE &amp; APPOINTEMENT MAD</t>
  </si>
  <si>
    <t>SAL &amp; APPOINTEMENT INTEL</t>
  </si>
  <si>
    <t>INDEMNITE FIN DE CONTRAT MAD</t>
  </si>
  <si>
    <t>INDEMNITE  EAU MAD</t>
  </si>
  <si>
    <t>INDEMNITE EAU INTEL</t>
  </si>
  <si>
    <t>INDEMNITE ELECTRICITE MAD</t>
  </si>
  <si>
    <t>INDEMNITE ELECTRICITE INTEL</t>
  </si>
  <si>
    <t>INDEMNITE CAISSE MAD</t>
  </si>
  <si>
    <t>INDEMNITE REPRESENTATION MAD</t>
  </si>
  <si>
    <t>INDEMNITE TRANSPORT INTEL</t>
  </si>
  <si>
    <t>CHARGES SOCIALES SUR SAL MAD</t>
  </si>
  <si>
    <t>CHARGES SOCIALES SUR SALAIRES INTEL</t>
  </si>
  <si>
    <t>SOINS ET PHARMACIE MAD</t>
  </si>
  <si>
    <t>SOINS &amp; PHARMACIE INTEL</t>
  </si>
  <si>
    <t>ASSURANCE SANTE</t>
  </si>
  <si>
    <t>ASSURANCE A REFACTURER</t>
  </si>
  <si>
    <t>INTERET SUR DEPOT CREDITEUR</t>
  </si>
  <si>
    <t>Prestations services MAD</t>
  </si>
  <si>
    <t>Prestations services assurances</t>
  </si>
  <si>
    <t>Prestations services expenses</t>
  </si>
  <si>
    <t>Set up fees</t>
  </si>
  <si>
    <t>Prestations services tax filing</t>
  </si>
  <si>
    <t>Prestations services immigration</t>
  </si>
  <si>
    <t>Prestations services bookeeping</t>
  </si>
  <si>
    <t>Prestations services divers</t>
  </si>
  <si>
    <t>PRODUITS FINANCIERS</t>
  </si>
  <si>
    <t>TRANSFERT CHARGE CONSULTANT</t>
  </si>
  <si>
    <t>FX CONSULTANT REFACTURE</t>
  </si>
  <si>
    <t>TRANSFERT CHARGE ASSURANCE</t>
  </si>
  <si>
    <t>TRANSFERT CHARGE MISSION</t>
  </si>
  <si>
    <t>LIBRAIRIE LE DAMAGARAM</t>
  </si>
  <si>
    <t>GLOBAL SERVICE</t>
  </si>
  <si>
    <t>BAILLEUR ETS B.S.S</t>
  </si>
  <si>
    <t>DIVERS FOURNISSEURS</t>
  </si>
  <si>
    <t>INC1</t>
  </si>
  <si>
    <t>IOS COTE DIVOIRE</t>
  </si>
  <si>
    <t>INC2</t>
  </si>
  <si>
    <t>INC3</t>
  </si>
  <si>
    <t>IOS BURKINA FASO</t>
  </si>
  <si>
    <t>INC4</t>
  </si>
  <si>
    <t>IOS SENEGAL</t>
  </si>
  <si>
    <t>INC5</t>
  </si>
  <si>
    <t xml:space="preserve">IOS DR.CONGO </t>
  </si>
  <si>
    <t>INC6</t>
  </si>
  <si>
    <t>IOS CAMEROON</t>
  </si>
  <si>
    <t>INC7</t>
  </si>
  <si>
    <t>IOS MALI</t>
  </si>
  <si>
    <t>INC8</t>
  </si>
  <si>
    <t>ACHAT</t>
  </si>
  <si>
    <t>Operation diverses</t>
  </si>
  <si>
    <t>REPORT A NOUVEAU</t>
  </si>
  <si>
    <t>RESULTAT EN INST. AFFECT. BENEFICE</t>
  </si>
  <si>
    <t>RESULTAT EN INST. AFFECT. PERTE</t>
  </si>
  <si>
    <t>RESULTAT EN AFFECTATION</t>
  </si>
  <si>
    <t>Fr. CORNELIUS HERMANUS BLIGNAUT</t>
  </si>
  <si>
    <t>UNEARNED INCOME</t>
  </si>
  <si>
    <t>Sal. RIVERMATE</t>
  </si>
  <si>
    <t>Remunération Dues</t>
  </si>
  <si>
    <t>INPS</t>
  </si>
  <si>
    <t>AMO</t>
  </si>
  <si>
    <t>RAS VAT</t>
  </si>
  <si>
    <t>TAXE LOGEMENT</t>
  </si>
  <si>
    <t>CONTRIBUTION FORFAITAIRE</t>
  </si>
  <si>
    <t>DEFERRED TAX LIABILTY</t>
  </si>
  <si>
    <t>DEBOURS ASSURANCE MAD</t>
  </si>
  <si>
    <t>MANDANT GOGLOBAL</t>
  </si>
  <si>
    <t>MANDANT GLOBAL EXPANSION</t>
  </si>
  <si>
    <t>ASSURANCE CONST. AVANCE A REFACT</t>
  </si>
  <si>
    <t>AUTRES ENERGIES- LIBRIFIANTS</t>
  </si>
  <si>
    <t>FOURNITURES D'ENTRETIEN VEHICULE</t>
  </si>
  <si>
    <t>FOURNITURE DE BUREAU</t>
  </si>
  <si>
    <t>IMPRESSIONS, PHOTOCOPIES</t>
  </si>
  <si>
    <t>LOCATIONS A REFACTURER</t>
  </si>
  <si>
    <t>CHARGES LOCATIVES A REFACTURER</t>
  </si>
  <si>
    <t>ENTRETIEN &amp; REPARATION VEHICULE</t>
  </si>
  <si>
    <t>ENTRETIEN MAT INFORMATIQ</t>
  </si>
  <si>
    <t>MAINTENANCE LOGICIEL INFORMATIQ</t>
  </si>
  <si>
    <t>MAINTENANCE  MAT &amp; MOB DE BUREAU</t>
  </si>
  <si>
    <t>PRIME D'ASSURANCE RESP CIVILE</t>
  </si>
  <si>
    <t>PRIME ASSURANCE MALADIE</t>
  </si>
  <si>
    <t>FRAIS TELECOPIE</t>
  </si>
  <si>
    <t>FRAIS INSTRUMENT MONNAIE ELECTRONIQ</t>
  </si>
  <si>
    <t>Honoraires</t>
  </si>
  <si>
    <t>HONORAIRE &amp; TRAVAUX INFORMATIQ</t>
  </si>
  <si>
    <t>HONORAIRE COMPTABLE &amp; FISCALE</t>
  </si>
  <si>
    <t>HONORAIRE VERIFICATEUR DE COMPTES</t>
  </si>
  <si>
    <t>FRAIS D'ACTE &amp; DE CONTENTIEUX</t>
  </si>
  <si>
    <t>FRAIS CONSEIL D'ADMNIST &amp;D'ASSEMBLE</t>
  </si>
  <si>
    <t>REDEVANCES POUR SITE INTERNET</t>
  </si>
  <si>
    <t>COTISATION CONABEM</t>
  </si>
  <si>
    <t>INDEMNITE STAGE</t>
  </si>
  <si>
    <t>Charges fiscales sur sal MAD</t>
  </si>
  <si>
    <t>Charges fiscales sur sal STAFF</t>
  </si>
  <si>
    <t>TIMBRES IMMIGRATION</t>
  </si>
  <si>
    <t>ENREGISTREMENT EMBAUCH MAD</t>
  </si>
  <si>
    <t>FX COST SUR REGLEMENT EN DEVISE</t>
  </si>
  <si>
    <t>Salaires brut</t>
  </si>
  <si>
    <t>RAPPEL BRUTE</t>
  </si>
  <si>
    <t>SAL BRUT STAFF</t>
  </si>
  <si>
    <t>PRIMES ET GRATIF</t>
  </si>
  <si>
    <t>GRATUITIES STAFF</t>
  </si>
  <si>
    <t>CONGES PAYES</t>
  </si>
  <si>
    <t>CONGE PAYES STAFF</t>
  </si>
  <si>
    <t>INDEMNITE DE LICENCIEMENT</t>
  </si>
  <si>
    <t>IND LICENCIEMENT STAFF</t>
  </si>
  <si>
    <t>INDEMNITE FIN DE CONTRAT</t>
  </si>
  <si>
    <t>IND FIN CONTRAT STAFF</t>
  </si>
  <si>
    <t>AVANTAGE NATURE MAD</t>
  </si>
  <si>
    <t>AVAN NATURE INTEL</t>
  </si>
  <si>
    <t>SAL BRUT NON LOCAL</t>
  </si>
  <si>
    <t>IND LOGEMENT MAD</t>
  </si>
  <si>
    <t>INDEMNITE REPRESENTATION INTEL</t>
  </si>
  <si>
    <t>INDEMNITE D'EXPATRIATION MAD</t>
  </si>
  <si>
    <t>INDEMNITE D'EXPATRIATION INTEL</t>
  </si>
  <si>
    <t>INDEMNITE DE MONTURE MAD</t>
  </si>
  <si>
    <t>IND MONTURE INTEL</t>
  </si>
  <si>
    <t>INDEMNITE DE DEPLACEMENT MAD</t>
  </si>
  <si>
    <t>IND DEPLACEMENT INTEL</t>
  </si>
  <si>
    <t>AUTRESMAJORATIONS LEGALES MAD</t>
  </si>
  <si>
    <t>AIDE A LA FAMILLE INTEL</t>
  </si>
  <si>
    <t>INDEMNITE DE SOLIDARITE MAD</t>
  </si>
  <si>
    <t>IND SOLIDARITE INTEL</t>
  </si>
  <si>
    <t>INDEMNITE SPECIALE 1973 MAD</t>
  </si>
  <si>
    <t>INDEMNITE DE CHARITE DE VIE MAD</t>
  </si>
  <si>
    <t>AIDE A LA FAMILLE MAD</t>
  </si>
  <si>
    <t>AUTRES MAJORATION LEGALES INTEL</t>
  </si>
  <si>
    <t>CHARGES SOCIALES SUR SAL INTEL</t>
  </si>
  <si>
    <t>STAFF HEALTH INSURANCE</t>
  </si>
  <si>
    <t>PRESTATIONS SERVICES MAD</t>
  </si>
  <si>
    <t>MGT FEE ASSURANCES</t>
  </si>
  <si>
    <t>MGT FEE CONSULTANT</t>
  </si>
  <si>
    <t>Prestations services disbursment</t>
  </si>
  <si>
    <t>Prestations Corporate Compliance</t>
  </si>
  <si>
    <t>GROSS CONSULTANT FEE</t>
  </si>
  <si>
    <t>**Prestations services</t>
  </si>
  <si>
    <t>FI0001</t>
  </si>
  <si>
    <t>FOURNISSEURS D'INVESTISSEMENT DIVERS</t>
  </si>
  <si>
    <t>FR00</t>
  </si>
  <si>
    <t>CABINET COMPTABLE COULIBALY</t>
  </si>
  <si>
    <t>AVOCAT JFC</t>
  </si>
  <si>
    <t>BAILLEUR TOURE</t>
  </si>
  <si>
    <t>ISAGO</t>
  </si>
  <si>
    <t>SOMAGEP</t>
  </si>
  <si>
    <t>DIAGO</t>
  </si>
  <si>
    <t>NSIA INSURANCE</t>
  </si>
  <si>
    <t>MANDE INFORMATIQUE</t>
  </si>
  <si>
    <t>BAILLEUR SEKOU DIAWARA</t>
  </si>
  <si>
    <t>SANLAM</t>
  </si>
  <si>
    <t>BAILLEUR CHRISTINE</t>
  </si>
  <si>
    <t>SOMYSI CONSULTANT</t>
  </si>
  <si>
    <t xml:space="preserve">CORNELIUS HERMANUS BLIGNAUT </t>
  </si>
  <si>
    <t>JACOBUS MARTHUINES GOUS</t>
  </si>
  <si>
    <t>OPERATIONS DIVERSES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</si>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</sst>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2D3D6-93C4-42F6-AB8E-BEB8141739AF}">
  <dimension ref="A1:F157"/>
  <sheetViews>
    <sheetView tabSelected="1" workbookViewId="0">
      <selection activeCell="C7" sqref="C7"/>
    </sheetView>
  </sheetViews>
  <sheetFormatPr defaultRowHeight="15.6" x14ac:dyDescent="0.3"/>
  <cols>
    <col min="3" max="3" width="35.1796875" customWidth="1"/>
    <col min="6" max="6" width="14.36328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</v>
      </c>
      <c r="E2">
        <v>0</v>
      </c>
      <c r="F2">
        <v>0</v>
      </c>
    </row>
    <row r="3" spans="1:6" x14ac:dyDescent="0.3">
      <c r="A3" t="s">
        <v>6</v>
      </c>
      <c r="B3" t="s">
        <v>9</v>
      </c>
      <c r="C3" t="s">
        <v>10</v>
      </c>
      <c r="D3">
        <v>0</v>
      </c>
      <c r="E3">
        <v>0</v>
      </c>
      <c r="F3">
        <v>0</v>
      </c>
    </row>
    <row r="4" spans="1:6" x14ac:dyDescent="0.3">
      <c r="A4" t="s">
        <v>6</v>
      </c>
      <c r="B4" t="s">
        <v>11</v>
      </c>
      <c r="C4" t="s">
        <v>12</v>
      </c>
      <c r="D4">
        <v>0</v>
      </c>
      <c r="E4">
        <v>0</v>
      </c>
      <c r="F4">
        <v>0</v>
      </c>
    </row>
    <row r="5" spans="1:6" x14ac:dyDescent="0.3">
      <c r="A5" t="s">
        <v>6</v>
      </c>
      <c r="B5" t="s">
        <v>13</v>
      </c>
      <c r="C5" t="s">
        <v>14</v>
      </c>
      <c r="D5">
        <v>0</v>
      </c>
      <c r="E5">
        <v>0</v>
      </c>
      <c r="F5">
        <v>0</v>
      </c>
    </row>
    <row r="6" spans="1:6" x14ac:dyDescent="0.3">
      <c r="A6" t="s">
        <v>6</v>
      </c>
      <c r="B6" t="s">
        <v>15</v>
      </c>
      <c r="C6" t="s">
        <v>16</v>
      </c>
      <c r="D6">
        <v>0</v>
      </c>
      <c r="E6">
        <v>0</v>
      </c>
      <c r="F6">
        <v>0</v>
      </c>
    </row>
    <row r="7" spans="1:6" x14ac:dyDescent="0.3">
      <c r="A7" t="s">
        <v>6</v>
      </c>
      <c r="B7" t="s">
        <v>17</v>
      </c>
      <c r="C7" t="s">
        <v>18</v>
      </c>
      <c r="D7">
        <v>0</v>
      </c>
      <c r="E7">
        <v>0</v>
      </c>
      <c r="F7">
        <v>0</v>
      </c>
    </row>
    <row r="8" spans="1:6" x14ac:dyDescent="0.3">
      <c r="A8" t="s">
        <v>6</v>
      </c>
      <c r="B8" t="s">
        <v>19</v>
      </c>
      <c r="C8" t="s">
        <v>20</v>
      </c>
      <c r="D8">
        <v>0</v>
      </c>
      <c r="E8">
        <v>0</v>
      </c>
      <c r="F8">
        <v>0</v>
      </c>
    </row>
    <row r="9" spans="1:6" x14ac:dyDescent="0.3">
      <c r="A9" t="s">
        <v>6</v>
      </c>
      <c r="B9" t="s">
        <v>21</v>
      </c>
      <c r="C9" t="s">
        <v>22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">
        <v>23</v>
      </c>
      <c r="C10" t="s">
        <v>24</v>
      </c>
      <c r="D10">
        <v>0</v>
      </c>
      <c r="E10">
        <v>0</v>
      </c>
      <c r="F10">
        <v>0</v>
      </c>
    </row>
    <row r="11" spans="1:6" x14ac:dyDescent="0.3">
      <c r="A11" t="s">
        <v>6</v>
      </c>
      <c r="B11" t="s">
        <v>25</v>
      </c>
      <c r="C11" t="s">
        <v>26</v>
      </c>
      <c r="D11">
        <v>0</v>
      </c>
      <c r="E11">
        <v>0</v>
      </c>
      <c r="F11">
        <v>0</v>
      </c>
    </row>
    <row r="12" spans="1:6" x14ac:dyDescent="0.3">
      <c r="A12" t="s">
        <v>6</v>
      </c>
      <c r="B12" t="s">
        <v>27</v>
      </c>
      <c r="C12" t="s">
        <v>28</v>
      </c>
      <c r="D12">
        <v>0</v>
      </c>
      <c r="E12">
        <v>0</v>
      </c>
      <c r="F12">
        <v>0</v>
      </c>
    </row>
    <row r="13" spans="1:6" x14ac:dyDescent="0.3">
      <c r="A13" t="s">
        <v>6</v>
      </c>
      <c r="B13" t="s">
        <v>29</v>
      </c>
      <c r="C13" t="s">
        <v>30</v>
      </c>
      <c r="D13">
        <v>0</v>
      </c>
      <c r="E13">
        <v>0</v>
      </c>
      <c r="F13">
        <v>0</v>
      </c>
    </row>
    <row r="14" spans="1:6" x14ac:dyDescent="0.3">
      <c r="A14" t="s">
        <v>6</v>
      </c>
      <c r="B14" t="s">
        <v>31</v>
      </c>
      <c r="C14" t="s">
        <v>32</v>
      </c>
      <c r="D14">
        <v>0</v>
      </c>
      <c r="E14">
        <v>0</v>
      </c>
      <c r="F14">
        <v>0</v>
      </c>
    </row>
    <row r="15" spans="1:6" x14ac:dyDescent="0.3">
      <c r="A15" t="s">
        <v>6</v>
      </c>
      <c r="B15" t="s">
        <v>33</v>
      </c>
      <c r="C15" t="s">
        <v>34</v>
      </c>
      <c r="D15">
        <v>0</v>
      </c>
      <c r="E15">
        <v>0</v>
      </c>
      <c r="F15">
        <v>0</v>
      </c>
    </row>
    <row r="16" spans="1:6" x14ac:dyDescent="0.3">
      <c r="A16" t="s">
        <v>6</v>
      </c>
      <c r="B16" t="s">
        <v>35</v>
      </c>
      <c r="C16" t="s">
        <v>36</v>
      </c>
      <c r="D16">
        <v>0</v>
      </c>
      <c r="E16">
        <v>0</v>
      </c>
      <c r="F16">
        <v>0</v>
      </c>
    </row>
    <row r="17" spans="1:6" x14ac:dyDescent="0.3">
      <c r="A17" t="s">
        <v>6</v>
      </c>
      <c r="B17" t="s">
        <v>37</v>
      </c>
      <c r="C17" t="s">
        <v>38</v>
      </c>
      <c r="D17">
        <v>0</v>
      </c>
      <c r="E17">
        <v>0</v>
      </c>
      <c r="F17">
        <v>0</v>
      </c>
    </row>
    <row r="18" spans="1:6" x14ac:dyDescent="0.3">
      <c r="A18" t="s">
        <v>6</v>
      </c>
      <c r="B18" t="s">
        <v>39</v>
      </c>
      <c r="C18" t="s">
        <v>40</v>
      </c>
      <c r="D18">
        <v>0</v>
      </c>
      <c r="E18">
        <v>0</v>
      </c>
      <c r="F18">
        <v>0</v>
      </c>
    </row>
    <row r="19" spans="1:6" x14ac:dyDescent="0.3">
      <c r="A19" t="s">
        <v>6</v>
      </c>
      <c r="B19" t="s">
        <v>41</v>
      </c>
      <c r="C19" t="s">
        <v>42</v>
      </c>
      <c r="D19">
        <v>0</v>
      </c>
      <c r="E19">
        <v>0</v>
      </c>
      <c r="F19">
        <v>0</v>
      </c>
    </row>
    <row r="20" spans="1:6" x14ac:dyDescent="0.3">
      <c r="A20" t="s">
        <v>6</v>
      </c>
      <c r="B20" t="s">
        <v>43</v>
      </c>
      <c r="C20" t="s">
        <v>44</v>
      </c>
      <c r="D20">
        <v>0</v>
      </c>
      <c r="E20">
        <v>0</v>
      </c>
      <c r="F20">
        <v>0</v>
      </c>
    </row>
    <row r="21" spans="1:6" x14ac:dyDescent="0.3">
      <c r="A21" t="s">
        <v>6</v>
      </c>
      <c r="B21" t="s">
        <v>45</v>
      </c>
      <c r="C21" t="s">
        <v>46</v>
      </c>
      <c r="D21">
        <v>0</v>
      </c>
      <c r="E21">
        <v>0</v>
      </c>
      <c r="F21">
        <v>0</v>
      </c>
    </row>
    <row r="22" spans="1:6" x14ac:dyDescent="0.3">
      <c r="A22" t="s">
        <v>6</v>
      </c>
      <c r="B22" t="s">
        <v>47</v>
      </c>
      <c r="C22" t="s">
        <v>48</v>
      </c>
      <c r="D22">
        <v>0</v>
      </c>
      <c r="E22">
        <v>0</v>
      </c>
      <c r="F22">
        <v>0</v>
      </c>
    </row>
    <row r="23" spans="1:6" x14ac:dyDescent="0.3">
      <c r="A23" t="s">
        <v>6</v>
      </c>
      <c r="B23" t="s">
        <v>49</v>
      </c>
      <c r="C23" t="s">
        <v>50</v>
      </c>
      <c r="D23">
        <v>0</v>
      </c>
      <c r="E23">
        <v>0</v>
      </c>
      <c r="F23">
        <v>0</v>
      </c>
    </row>
    <row r="24" spans="1:6" x14ac:dyDescent="0.3">
      <c r="A24" t="s">
        <v>6</v>
      </c>
      <c r="B24" t="s">
        <v>51</v>
      </c>
      <c r="C24" t="s">
        <v>52</v>
      </c>
      <c r="D24">
        <v>0</v>
      </c>
      <c r="E24">
        <v>0</v>
      </c>
      <c r="F24">
        <v>0</v>
      </c>
    </row>
    <row r="25" spans="1:6" x14ac:dyDescent="0.3">
      <c r="A25" t="s">
        <v>6</v>
      </c>
      <c r="B25" t="s">
        <v>53</v>
      </c>
      <c r="C25" t="s">
        <v>54</v>
      </c>
      <c r="D25">
        <v>0</v>
      </c>
      <c r="E25">
        <v>0</v>
      </c>
      <c r="F25">
        <v>0</v>
      </c>
    </row>
    <row r="26" spans="1:6" x14ac:dyDescent="0.3">
      <c r="A26" t="s">
        <v>6</v>
      </c>
      <c r="B26" t="s">
        <v>55</v>
      </c>
      <c r="C26" t="s">
        <v>56</v>
      </c>
      <c r="D26">
        <v>0</v>
      </c>
      <c r="E26">
        <v>0</v>
      </c>
      <c r="F26">
        <v>0</v>
      </c>
    </row>
    <row r="27" spans="1:6" x14ac:dyDescent="0.3">
      <c r="A27" t="s">
        <v>6</v>
      </c>
      <c r="B27" t="s">
        <v>57</v>
      </c>
      <c r="C27" t="s">
        <v>58</v>
      </c>
      <c r="D27">
        <v>0</v>
      </c>
      <c r="E27">
        <v>0</v>
      </c>
      <c r="F27">
        <v>0</v>
      </c>
    </row>
    <row r="28" spans="1:6" x14ac:dyDescent="0.3">
      <c r="A28" t="s">
        <v>6</v>
      </c>
      <c r="B28" t="s">
        <v>59</v>
      </c>
      <c r="C28" t="s">
        <v>60</v>
      </c>
      <c r="D28">
        <v>0</v>
      </c>
      <c r="E28">
        <v>0</v>
      </c>
      <c r="F28">
        <v>0</v>
      </c>
    </row>
    <row r="29" spans="1:6" x14ac:dyDescent="0.3">
      <c r="A29" t="s">
        <v>6</v>
      </c>
      <c r="B29" t="s">
        <v>61</v>
      </c>
      <c r="C29" t="s">
        <v>62</v>
      </c>
      <c r="D29">
        <v>0</v>
      </c>
      <c r="E29">
        <v>0</v>
      </c>
      <c r="F29">
        <v>0</v>
      </c>
    </row>
    <row r="30" spans="1:6" x14ac:dyDescent="0.3">
      <c r="A30" t="s">
        <v>6</v>
      </c>
      <c r="B30" t="s">
        <v>63</v>
      </c>
      <c r="C30" t="s">
        <v>64</v>
      </c>
      <c r="D30">
        <v>0</v>
      </c>
      <c r="E30">
        <v>0</v>
      </c>
      <c r="F30">
        <v>0</v>
      </c>
    </row>
    <row r="31" spans="1:6" x14ac:dyDescent="0.3">
      <c r="A31" t="s">
        <v>6</v>
      </c>
      <c r="B31" t="s">
        <v>65</v>
      </c>
      <c r="C31" t="s">
        <v>66</v>
      </c>
      <c r="D31">
        <v>0</v>
      </c>
      <c r="E31">
        <v>0</v>
      </c>
      <c r="F31">
        <v>0</v>
      </c>
    </row>
    <row r="32" spans="1:6" x14ac:dyDescent="0.3">
      <c r="A32" t="s">
        <v>6</v>
      </c>
      <c r="B32" t="s">
        <v>67</v>
      </c>
      <c r="C32" t="s">
        <v>68</v>
      </c>
      <c r="D32">
        <v>0</v>
      </c>
      <c r="E32">
        <v>0</v>
      </c>
      <c r="F32">
        <v>0</v>
      </c>
    </row>
    <row r="33" spans="1:6" x14ac:dyDescent="0.3">
      <c r="A33" t="s">
        <v>6</v>
      </c>
      <c r="B33" t="s">
        <v>69</v>
      </c>
      <c r="C33" t="s">
        <v>70</v>
      </c>
      <c r="D33">
        <v>0</v>
      </c>
      <c r="E33">
        <v>0</v>
      </c>
      <c r="F33">
        <v>0</v>
      </c>
    </row>
    <row r="34" spans="1:6" x14ac:dyDescent="0.3">
      <c r="A34" t="s">
        <v>6</v>
      </c>
      <c r="B34" t="s">
        <v>71</v>
      </c>
      <c r="C34" t="s">
        <v>72</v>
      </c>
      <c r="D34">
        <v>0</v>
      </c>
      <c r="E34">
        <v>0</v>
      </c>
      <c r="F34">
        <v>0</v>
      </c>
    </row>
    <row r="35" spans="1:6" x14ac:dyDescent="0.3">
      <c r="A35" t="s">
        <v>6</v>
      </c>
      <c r="B35" t="s">
        <v>73</v>
      </c>
      <c r="C35" t="s">
        <v>74</v>
      </c>
      <c r="D35">
        <v>0</v>
      </c>
      <c r="E35">
        <v>0</v>
      </c>
      <c r="F35">
        <v>0</v>
      </c>
    </row>
    <row r="36" spans="1:6" x14ac:dyDescent="0.3">
      <c r="A36" t="s">
        <v>6</v>
      </c>
      <c r="B36" t="s">
        <v>75</v>
      </c>
      <c r="C36" t="s">
        <v>76</v>
      </c>
      <c r="D36">
        <v>0</v>
      </c>
      <c r="E36">
        <v>0</v>
      </c>
      <c r="F36">
        <v>0</v>
      </c>
    </row>
    <row r="37" spans="1:6" x14ac:dyDescent="0.3">
      <c r="A37" t="s">
        <v>6</v>
      </c>
      <c r="B37" t="s">
        <v>77</v>
      </c>
      <c r="C37" t="s">
        <v>78</v>
      </c>
      <c r="D37">
        <v>0</v>
      </c>
      <c r="E37">
        <v>0</v>
      </c>
      <c r="F37">
        <v>0</v>
      </c>
    </row>
    <row r="38" spans="1:6" x14ac:dyDescent="0.3">
      <c r="A38" t="s">
        <v>6</v>
      </c>
      <c r="B38" t="s">
        <v>79</v>
      </c>
      <c r="C38" t="s">
        <v>80</v>
      </c>
      <c r="D38">
        <v>0</v>
      </c>
      <c r="E38">
        <v>0</v>
      </c>
      <c r="F38">
        <v>0</v>
      </c>
    </row>
    <row r="39" spans="1:6" x14ac:dyDescent="0.3">
      <c r="A39" t="s">
        <v>6</v>
      </c>
      <c r="B39" t="s">
        <v>81</v>
      </c>
      <c r="C39" t="s">
        <v>82</v>
      </c>
      <c r="D39">
        <v>0</v>
      </c>
      <c r="E39">
        <v>0</v>
      </c>
      <c r="F39">
        <v>0</v>
      </c>
    </row>
    <row r="40" spans="1:6" x14ac:dyDescent="0.3">
      <c r="A40" t="s">
        <v>6</v>
      </c>
      <c r="B40" t="s">
        <v>83</v>
      </c>
      <c r="C40" t="s">
        <v>84</v>
      </c>
      <c r="D40">
        <v>0</v>
      </c>
      <c r="E40">
        <v>0</v>
      </c>
      <c r="F40">
        <v>0</v>
      </c>
    </row>
    <row r="41" spans="1:6" x14ac:dyDescent="0.3">
      <c r="A41" t="s">
        <v>6</v>
      </c>
      <c r="B41" t="s">
        <v>85</v>
      </c>
      <c r="C41" t="s">
        <v>86</v>
      </c>
      <c r="D41">
        <v>0</v>
      </c>
      <c r="E41">
        <v>0</v>
      </c>
      <c r="F41">
        <v>0</v>
      </c>
    </row>
    <row r="42" spans="1:6" x14ac:dyDescent="0.3">
      <c r="A42" t="s">
        <v>6</v>
      </c>
      <c r="B42" t="s">
        <v>87</v>
      </c>
      <c r="C42" t="s">
        <v>88</v>
      </c>
      <c r="D42">
        <v>0</v>
      </c>
      <c r="E42">
        <v>0</v>
      </c>
      <c r="F42">
        <v>0</v>
      </c>
    </row>
    <row r="43" spans="1:6" x14ac:dyDescent="0.3">
      <c r="A43" t="s">
        <v>6</v>
      </c>
      <c r="B43" t="s">
        <v>89</v>
      </c>
      <c r="C43" t="s">
        <v>90</v>
      </c>
      <c r="D43">
        <v>0</v>
      </c>
      <c r="E43">
        <v>0</v>
      </c>
      <c r="F43">
        <v>0</v>
      </c>
    </row>
    <row r="44" spans="1:6" x14ac:dyDescent="0.3">
      <c r="A44" t="s">
        <v>6</v>
      </c>
      <c r="B44" t="s">
        <v>91</v>
      </c>
      <c r="C44" t="s">
        <v>92</v>
      </c>
      <c r="D44">
        <v>0</v>
      </c>
      <c r="E44">
        <v>0</v>
      </c>
      <c r="F44">
        <v>0</v>
      </c>
    </row>
    <row r="45" spans="1:6" x14ac:dyDescent="0.3">
      <c r="A45" t="s">
        <v>6</v>
      </c>
      <c r="B45" t="s">
        <v>93</v>
      </c>
      <c r="C45" t="s">
        <v>94</v>
      </c>
      <c r="D45">
        <v>0</v>
      </c>
      <c r="E45">
        <v>0</v>
      </c>
      <c r="F45">
        <v>0</v>
      </c>
    </row>
    <row r="46" spans="1:6" x14ac:dyDescent="0.3">
      <c r="A46" t="s">
        <v>6</v>
      </c>
      <c r="B46" t="s">
        <v>95</v>
      </c>
      <c r="C46" t="s">
        <v>96</v>
      </c>
      <c r="D46">
        <v>0</v>
      </c>
      <c r="E46">
        <v>0</v>
      </c>
      <c r="F46">
        <v>0</v>
      </c>
    </row>
    <row r="47" spans="1:6" x14ac:dyDescent="0.3">
      <c r="A47" t="s">
        <v>6</v>
      </c>
      <c r="B47" t="s">
        <v>97</v>
      </c>
      <c r="C47" t="s">
        <v>98</v>
      </c>
      <c r="D47">
        <v>0</v>
      </c>
      <c r="E47">
        <v>0</v>
      </c>
      <c r="F47">
        <v>0</v>
      </c>
    </row>
    <row r="48" spans="1:6" x14ac:dyDescent="0.3">
      <c r="A48" t="s">
        <v>6</v>
      </c>
      <c r="B48" t="s">
        <v>99</v>
      </c>
      <c r="C48" t="s">
        <v>100</v>
      </c>
      <c r="D48">
        <v>0</v>
      </c>
      <c r="E48">
        <v>0</v>
      </c>
      <c r="F48">
        <v>0</v>
      </c>
    </row>
    <row r="49" spans="1:6" x14ac:dyDescent="0.3">
      <c r="A49" t="s">
        <v>6</v>
      </c>
      <c r="B49" t="s">
        <v>101</v>
      </c>
      <c r="C49" t="s">
        <v>102</v>
      </c>
      <c r="D49">
        <v>0</v>
      </c>
      <c r="E49">
        <v>0</v>
      </c>
      <c r="F49">
        <v>0</v>
      </c>
    </row>
    <row r="50" spans="1:6" x14ac:dyDescent="0.3">
      <c r="A50" t="s">
        <v>6</v>
      </c>
      <c r="B50" t="s">
        <v>103</v>
      </c>
      <c r="C50" t="s">
        <v>104</v>
      </c>
      <c r="D50">
        <v>0</v>
      </c>
      <c r="E50">
        <v>0</v>
      </c>
      <c r="F50">
        <v>0</v>
      </c>
    </row>
    <row r="51" spans="1:6" x14ac:dyDescent="0.3">
      <c r="A51" t="s">
        <v>6</v>
      </c>
      <c r="B51" t="s">
        <v>105</v>
      </c>
      <c r="C51" t="s">
        <v>106</v>
      </c>
      <c r="D51">
        <v>0</v>
      </c>
      <c r="E51">
        <v>0</v>
      </c>
      <c r="F51">
        <v>0</v>
      </c>
    </row>
    <row r="52" spans="1:6" x14ac:dyDescent="0.3">
      <c r="A52" t="s">
        <v>6</v>
      </c>
      <c r="B52" t="s">
        <v>107</v>
      </c>
      <c r="C52" t="s">
        <v>108</v>
      </c>
      <c r="D52">
        <v>0</v>
      </c>
      <c r="E52">
        <v>0</v>
      </c>
      <c r="F52">
        <v>0</v>
      </c>
    </row>
    <row r="53" spans="1:6" x14ac:dyDescent="0.3">
      <c r="A53" t="s">
        <v>6</v>
      </c>
      <c r="B53" t="s">
        <v>109</v>
      </c>
      <c r="C53" t="s">
        <v>110</v>
      </c>
      <c r="D53">
        <v>0</v>
      </c>
      <c r="E53">
        <v>0</v>
      </c>
      <c r="F53">
        <v>0</v>
      </c>
    </row>
    <row r="54" spans="1:6" x14ac:dyDescent="0.3">
      <c r="A54" t="s">
        <v>6</v>
      </c>
      <c r="B54" t="s">
        <v>111</v>
      </c>
      <c r="C54" t="s">
        <v>112</v>
      </c>
      <c r="D54">
        <v>0</v>
      </c>
      <c r="E54">
        <v>0</v>
      </c>
      <c r="F54">
        <v>0</v>
      </c>
    </row>
    <row r="55" spans="1:6" x14ac:dyDescent="0.3">
      <c r="A55" t="s">
        <v>6</v>
      </c>
      <c r="B55" t="s">
        <v>113</v>
      </c>
      <c r="C55" t="s">
        <v>114</v>
      </c>
      <c r="D55">
        <v>0</v>
      </c>
      <c r="E55">
        <v>0</v>
      </c>
      <c r="F55">
        <v>0</v>
      </c>
    </row>
    <row r="56" spans="1:6" x14ac:dyDescent="0.3">
      <c r="A56" t="s">
        <v>6</v>
      </c>
      <c r="B56" t="s">
        <v>115</v>
      </c>
      <c r="C56" t="s">
        <v>116</v>
      </c>
      <c r="D56">
        <v>0</v>
      </c>
      <c r="E56">
        <v>0</v>
      </c>
      <c r="F56">
        <v>0</v>
      </c>
    </row>
    <row r="57" spans="1:6" x14ac:dyDescent="0.3">
      <c r="A57" t="s">
        <v>6</v>
      </c>
      <c r="B57" t="s">
        <v>117</v>
      </c>
      <c r="C57" t="s">
        <v>118</v>
      </c>
      <c r="D57">
        <v>0</v>
      </c>
      <c r="E57">
        <v>0</v>
      </c>
      <c r="F57">
        <v>0</v>
      </c>
    </row>
    <row r="58" spans="1:6" x14ac:dyDescent="0.3">
      <c r="A58" t="s">
        <v>6</v>
      </c>
      <c r="B58" t="s">
        <v>119</v>
      </c>
      <c r="C58" t="s">
        <v>120</v>
      </c>
      <c r="D58">
        <v>0</v>
      </c>
      <c r="E58">
        <v>0</v>
      </c>
      <c r="F58">
        <v>0</v>
      </c>
    </row>
    <row r="59" spans="1:6" x14ac:dyDescent="0.3">
      <c r="A59" t="s">
        <v>6</v>
      </c>
      <c r="B59" t="s">
        <v>121</v>
      </c>
      <c r="C59" t="s">
        <v>122</v>
      </c>
      <c r="D59">
        <v>0</v>
      </c>
      <c r="E59">
        <v>0</v>
      </c>
      <c r="F59">
        <v>0</v>
      </c>
    </row>
    <row r="60" spans="1:6" x14ac:dyDescent="0.3">
      <c r="A60" t="s">
        <v>6</v>
      </c>
      <c r="B60" t="s">
        <v>123</v>
      </c>
      <c r="C60" t="s">
        <v>124</v>
      </c>
      <c r="D60">
        <v>0</v>
      </c>
      <c r="E60">
        <v>0</v>
      </c>
      <c r="F60">
        <v>0</v>
      </c>
    </row>
    <row r="61" spans="1:6" x14ac:dyDescent="0.3">
      <c r="A61" t="s">
        <v>6</v>
      </c>
      <c r="B61" t="s">
        <v>125</v>
      </c>
      <c r="C61" t="s">
        <v>126</v>
      </c>
      <c r="D61">
        <v>0</v>
      </c>
      <c r="E61">
        <v>0</v>
      </c>
      <c r="F61">
        <v>0</v>
      </c>
    </row>
    <row r="62" spans="1:6" x14ac:dyDescent="0.3">
      <c r="A62" t="s">
        <v>6</v>
      </c>
      <c r="B62" t="s">
        <v>127</v>
      </c>
      <c r="C62" t="s">
        <v>128</v>
      </c>
      <c r="D62">
        <v>0</v>
      </c>
      <c r="E62">
        <v>0</v>
      </c>
      <c r="F62">
        <v>0</v>
      </c>
    </row>
    <row r="63" spans="1:6" x14ac:dyDescent="0.3">
      <c r="A63" t="s">
        <v>6</v>
      </c>
      <c r="B63" t="s">
        <v>129</v>
      </c>
      <c r="C63" t="s">
        <v>130</v>
      </c>
      <c r="D63">
        <v>0</v>
      </c>
      <c r="E63">
        <v>0</v>
      </c>
      <c r="F63">
        <v>0</v>
      </c>
    </row>
    <row r="64" spans="1:6" x14ac:dyDescent="0.3">
      <c r="A64" t="s">
        <v>6</v>
      </c>
      <c r="B64" t="s">
        <v>131</v>
      </c>
      <c r="C64" t="s">
        <v>132</v>
      </c>
      <c r="D64">
        <v>0</v>
      </c>
      <c r="E64">
        <v>0</v>
      </c>
      <c r="F64">
        <v>0</v>
      </c>
    </row>
    <row r="65" spans="1:6" x14ac:dyDescent="0.3">
      <c r="A65" t="s">
        <v>6</v>
      </c>
      <c r="B65" t="s">
        <v>133</v>
      </c>
      <c r="C65" t="s">
        <v>134</v>
      </c>
      <c r="D65">
        <v>0</v>
      </c>
      <c r="E65">
        <v>0</v>
      </c>
      <c r="F65">
        <v>0</v>
      </c>
    </row>
    <row r="66" spans="1:6" x14ac:dyDescent="0.3">
      <c r="A66" t="s">
        <v>6</v>
      </c>
      <c r="B66" t="s">
        <v>135</v>
      </c>
      <c r="C66" t="s">
        <v>136</v>
      </c>
      <c r="D66">
        <v>0</v>
      </c>
      <c r="E66">
        <v>0</v>
      </c>
      <c r="F66">
        <v>0</v>
      </c>
    </row>
    <row r="67" spans="1:6" x14ac:dyDescent="0.3">
      <c r="A67" t="s">
        <v>6</v>
      </c>
      <c r="B67" t="s">
        <v>137</v>
      </c>
      <c r="C67" t="s">
        <v>138</v>
      </c>
      <c r="D67">
        <v>0</v>
      </c>
      <c r="E67">
        <v>0</v>
      </c>
      <c r="F67">
        <v>0</v>
      </c>
    </row>
    <row r="68" spans="1:6" x14ac:dyDescent="0.3">
      <c r="A68" t="s">
        <v>6</v>
      </c>
      <c r="B68" t="s">
        <v>139</v>
      </c>
      <c r="C68" t="s">
        <v>140</v>
      </c>
      <c r="D68">
        <v>0</v>
      </c>
      <c r="E68">
        <v>0</v>
      </c>
      <c r="F68">
        <v>0</v>
      </c>
    </row>
    <row r="69" spans="1:6" x14ac:dyDescent="0.3">
      <c r="A69" t="s">
        <v>6</v>
      </c>
      <c r="B69" t="s">
        <v>141</v>
      </c>
      <c r="C69" t="s">
        <v>142</v>
      </c>
      <c r="D69">
        <v>0</v>
      </c>
      <c r="E69">
        <v>0</v>
      </c>
      <c r="F69">
        <v>0</v>
      </c>
    </row>
    <row r="70" spans="1:6" x14ac:dyDescent="0.3">
      <c r="A70" t="s">
        <v>6</v>
      </c>
      <c r="B70" t="s">
        <v>143</v>
      </c>
      <c r="C70" t="s">
        <v>144</v>
      </c>
      <c r="D70">
        <v>0</v>
      </c>
      <c r="E70">
        <v>0</v>
      </c>
      <c r="F70">
        <v>0</v>
      </c>
    </row>
    <row r="71" spans="1:6" x14ac:dyDescent="0.3">
      <c r="A71" t="s">
        <v>6</v>
      </c>
      <c r="B71" t="s">
        <v>145</v>
      </c>
      <c r="C71" t="s">
        <v>146</v>
      </c>
      <c r="D71">
        <v>0</v>
      </c>
      <c r="E71">
        <v>0</v>
      </c>
      <c r="F71">
        <v>0</v>
      </c>
    </row>
    <row r="72" spans="1:6" x14ac:dyDescent="0.3">
      <c r="A72" t="s">
        <v>6</v>
      </c>
      <c r="B72" t="s">
        <v>147</v>
      </c>
      <c r="C72" t="s">
        <v>148</v>
      </c>
      <c r="D72">
        <v>0</v>
      </c>
      <c r="E72">
        <v>0</v>
      </c>
      <c r="F72">
        <v>0</v>
      </c>
    </row>
    <row r="73" spans="1:6" x14ac:dyDescent="0.3">
      <c r="A73" t="s">
        <v>6</v>
      </c>
      <c r="B73" t="s">
        <v>149</v>
      </c>
      <c r="C73" t="s">
        <v>150</v>
      </c>
      <c r="D73">
        <v>0</v>
      </c>
      <c r="E73">
        <v>0</v>
      </c>
      <c r="F73">
        <v>0</v>
      </c>
    </row>
    <row r="74" spans="1:6" x14ac:dyDescent="0.3">
      <c r="A74" t="s">
        <v>6</v>
      </c>
      <c r="B74" t="s">
        <v>151</v>
      </c>
      <c r="C74" t="s">
        <v>152</v>
      </c>
      <c r="D74">
        <v>0</v>
      </c>
      <c r="E74">
        <v>0</v>
      </c>
      <c r="F74">
        <v>0</v>
      </c>
    </row>
    <row r="75" spans="1:6" x14ac:dyDescent="0.3">
      <c r="A75" t="s">
        <v>6</v>
      </c>
      <c r="B75" t="s">
        <v>153</v>
      </c>
      <c r="C75" t="s">
        <v>154</v>
      </c>
      <c r="D75">
        <v>0</v>
      </c>
      <c r="E75">
        <v>0</v>
      </c>
      <c r="F75">
        <v>0</v>
      </c>
    </row>
    <row r="76" spans="1:6" x14ac:dyDescent="0.3">
      <c r="A76" t="s">
        <v>6</v>
      </c>
      <c r="B76" t="s">
        <v>155</v>
      </c>
      <c r="C76" t="s">
        <v>156</v>
      </c>
      <c r="D76">
        <v>0</v>
      </c>
      <c r="E76">
        <v>0</v>
      </c>
      <c r="F76">
        <v>0</v>
      </c>
    </row>
    <row r="77" spans="1:6" x14ac:dyDescent="0.3">
      <c r="A77" t="s">
        <v>6</v>
      </c>
      <c r="B77" t="s">
        <v>157</v>
      </c>
      <c r="C77" t="s">
        <v>158</v>
      </c>
      <c r="D77">
        <v>0</v>
      </c>
      <c r="E77">
        <v>0</v>
      </c>
      <c r="F77">
        <v>0</v>
      </c>
    </row>
    <row r="78" spans="1:6" x14ac:dyDescent="0.3">
      <c r="A78" t="s">
        <v>6</v>
      </c>
      <c r="B78" t="s">
        <v>159</v>
      </c>
      <c r="C78" t="s">
        <v>160</v>
      </c>
      <c r="D78">
        <v>0</v>
      </c>
      <c r="E78">
        <v>0</v>
      </c>
      <c r="F78">
        <v>0</v>
      </c>
    </row>
    <row r="79" spans="1:6" x14ac:dyDescent="0.3">
      <c r="A79" t="s">
        <v>6</v>
      </c>
      <c r="B79" t="s">
        <v>161</v>
      </c>
      <c r="C79" t="s">
        <v>162</v>
      </c>
      <c r="D79">
        <v>0</v>
      </c>
      <c r="E79">
        <v>0</v>
      </c>
      <c r="F79">
        <v>0</v>
      </c>
    </row>
    <row r="80" spans="1:6" x14ac:dyDescent="0.3">
      <c r="A80" t="s">
        <v>6</v>
      </c>
      <c r="B80" t="s">
        <v>163</v>
      </c>
      <c r="C80" t="s">
        <v>164</v>
      </c>
      <c r="D80">
        <v>0</v>
      </c>
      <c r="E80">
        <v>0</v>
      </c>
      <c r="F80">
        <v>0</v>
      </c>
    </row>
    <row r="81" spans="1:6" x14ac:dyDescent="0.3">
      <c r="A81" t="s">
        <v>6</v>
      </c>
      <c r="B81" t="s">
        <v>165</v>
      </c>
      <c r="C81" t="s">
        <v>166</v>
      </c>
      <c r="D81">
        <v>0</v>
      </c>
      <c r="E81">
        <v>0</v>
      </c>
      <c r="F81">
        <v>0</v>
      </c>
    </row>
    <row r="82" spans="1:6" x14ac:dyDescent="0.3">
      <c r="A82" t="s">
        <v>6</v>
      </c>
      <c r="B82" t="s">
        <v>167</v>
      </c>
      <c r="C82" t="s">
        <v>168</v>
      </c>
      <c r="D82">
        <v>0</v>
      </c>
      <c r="E82">
        <v>0</v>
      </c>
      <c r="F82">
        <v>0</v>
      </c>
    </row>
    <row r="83" spans="1:6" x14ac:dyDescent="0.3">
      <c r="A83" t="s">
        <v>6</v>
      </c>
      <c r="B83" t="s">
        <v>169</v>
      </c>
      <c r="C83" t="s">
        <v>170</v>
      </c>
      <c r="D83">
        <v>0</v>
      </c>
      <c r="E83">
        <v>0</v>
      </c>
      <c r="F83">
        <v>0</v>
      </c>
    </row>
    <row r="84" spans="1:6" x14ac:dyDescent="0.3">
      <c r="A84" t="s">
        <v>6</v>
      </c>
      <c r="B84" t="s">
        <v>171</v>
      </c>
      <c r="C84" t="s">
        <v>172</v>
      </c>
      <c r="D84">
        <v>0</v>
      </c>
      <c r="E84">
        <v>0</v>
      </c>
      <c r="F84">
        <v>0</v>
      </c>
    </row>
    <row r="85" spans="1:6" x14ac:dyDescent="0.3">
      <c r="A85" t="s">
        <v>6</v>
      </c>
      <c r="B85" t="s">
        <v>173</v>
      </c>
      <c r="C85" t="s">
        <v>174</v>
      </c>
      <c r="D85">
        <v>0</v>
      </c>
      <c r="E85">
        <v>0</v>
      </c>
      <c r="F85">
        <v>0</v>
      </c>
    </row>
    <row r="86" spans="1:6" x14ac:dyDescent="0.3">
      <c r="A86" t="s">
        <v>6</v>
      </c>
      <c r="B86" t="s">
        <v>175</v>
      </c>
      <c r="C86" t="s">
        <v>176</v>
      </c>
      <c r="D86">
        <v>0</v>
      </c>
      <c r="E86">
        <v>0</v>
      </c>
      <c r="F86">
        <v>0</v>
      </c>
    </row>
    <row r="87" spans="1:6" x14ac:dyDescent="0.3">
      <c r="A87" t="s">
        <v>6</v>
      </c>
      <c r="B87" t="s">
        <v>177</v>
      </c>
      <c r="C87" t="s">
        <v>178</v>
      </c>
      <c r="D87">
        <v>0</v>
      </c>
      <c r="E87">
        <v>0</v>
      </c>
      <c r="F87">
        <v>0</v>
      </c>
    </row>
    <row r="88" spans="1:6" x14ac:dyDescent="0.3">
      <c r="A88" t="s">
        <v>6</v>
      </c>
      <c r="B88" t="s">
        <v>179</v>
      </c>
      <c r="C88" t="s">
        <v>180</v>
      </c>
      <c r="D88">
        <v>0</v>
      </c>
      <c r="E88">
        <v>0</v>
      </c>
      <c r="F88">
        <v>0</v>
      </c>
    </row>
    <row r="89" spans="1:6" x14ac:dyDescent="0.3">
      <c r="A89" t="s">
        <v>6</v>
      </c>
      <c r="B89" t="s">
        <v>181</v>
      </c>
      <c r="C89" t="s">
        <v>182</v>
      </c>
      <c r="D89">
        <v>0</v>
      </c>
      <c r="E89">
        <v>0</v>
      </c>
      <c r="F89">
        <v>0</v>
      </c>
    </row>
    <row r="90" spans="1:6" x14ac:dyDescent="0.3">
      <c r="A90" t="s">
        <v>6</v>
      </c>
      <c r="B90" t="s">
        <v>183</v>
      </c>
      <c r="C90" t="s">
        <v>184</v>
      </c>
      <c r="D90">
        <v>0</v>
      </c>
      <c r="E90">
        <v>0</v>
      </c>
      <c r="F90">
        <v>0</v>
      </c>
    </row>
    <row r="91" spans="1:6" x14ac:dyDescent="0.3">
      <c r="A91" t="s">
        <v>6</v>
      </c>
      <c r="B91" t="s">
        <v>185</v>
      </c>
      <c r="C91" t="s">
        <v>186</v>
      </c>
      <c r="D91">
        <v>0</v>
      </c>
      <c r="E91">
        <v>0</v>
      </c>
      <c r="F91">
        <v>0</v>
      </c>
    </row>
    <row r="92" spans="1:6" x14ac:dyDescent="0.3">
      <c r="A92" t="s">
        <v>6</v>
      </c>
      <c r="B92" t="s">
        <v>187</v>
      </c>
      <c r="C92" t="s">
        <v>188</v>
      </c>
      <c r="D92">
        <v>0</v>
      </c>
      <c r="E92">
        <v>0</v>
      </c>
      <c r="F92">
        <v>0</v>
      </c>
    </row>
    <row r="93" spans="1:6" x14ac:dyDescent="0.3">
      <c r="A93" t="s">
        <v>6</v>
      </c>
      <c r="B93" t="s">
        <v>189</v>
      </c>
      <c r="C93" t="s">
        <v>190</v>
      </c>
      <c r="D93">
        <v>0</v>
      </c>
      <c r="E93">
        <v>0</v>
      </c>
      <c r="F93">
        <v>0</v>
      </c>
    </row>
    <row r="94" spans="1:6" x14ac:dyDescent="0.3">
      <c r="A94" t="s">
        <v>6</v>
      </c>
      <c r="B94" t="s">
        <v>191</v>
      </c>
      <c r="C94" t="s">
        <v>192</v>
      </c>
      <c r="D94">
        <v>0</v>
      </c>
      <c r="E94">
        <v>0</v>
      </c>
      <c r="F94">
        <v>0</v>
      </c>
    </row>
    <row r="95" spans="1:6" x14ac:dyDescent="0.3">
      <c r="A95" t="s">
        <v>6</v>
      </c>
      <c r="B95" t="s">
        <v>193</v>
      </c>
      <c r="C95" t="s">
        <v>194</v>
      </c>
      <c r="D95">
        <v>0</v>
      </c>
      <c r="E95">
        <v>0</v>
      </c>
      <c r="F95">
        <v>0</v>
      </c>
    </row>
    <row r="96" spans="1:6" x14ac:dyDescent="0.3">
      <c r="A96" t="s">
        <v>6</v>
      </c>
      <c r="B96" t="s">
        <v>195</v>
      </c>
      <c r="C96" t="s">
        <v>196</v>
      </c>
      <c r="D96">
        <v>0</v>
      </c>
      <c r="E96">
        <v>0</v>
      </c>
      <c r="F96">
        <v>0</v>
      </c>
    </row>
    <row r="97" spans="1:6" x14ac:dyDescent="0.3">
      <c r="A97" t="s">
        <v>6</v>
      </c>
      <c r="B97" t="s">
        <v>197</v>
      </c>
      <c r="C97" t="s">
        <v>198</v>
      </c>
      <c r="D97">
        <v>0</v>
      </c>
      <c r="E97">
        <v>0</v>
      </c>
      <c r="F97">
        <v>0</v>
      </c>
    </row>
    <row r="98" spans="1:6" x14ac:dyDescent="0.3">
      <c r="A98" t="s">
        <v>6</v>
      </c>
      <c r="B98" t="s">
        <v>199</v>
      </c>
      <c r="C98" t="s">
        <v>200</v>
      </c>
      <c r="D98">
        <v>0</v>
      </c>
      <c r="E98">
        <v>0</v>
      </c>
      <c r="F98">
        <v>0</v>
      </c>
    </row>
    <row r="99" spans="1:6" x14ac:dyDescent="0.3">
      <c r="A99" t="s">
        <v>6</v>
      </c>
      <c r="B99" t="s">
        <v>201</v>
      </c>
      <c r="C99" t="s">
        <v>202</v>
      </c>
      <c r="D99">
        <v>0</v>
      </c>
      <c r="E99">
        <v>0</v>
      </c>
      <c r="F99">
        <v>0</v>
      </c>
    </row>
    <row r="100" spans="1:6" x14ac:dyDescent="0.3">
      <c r="A100" t="s">
        <v>6</v>
      </c>
      <c r="B100" t="s">
        <v>203</v>
      </c>
      <c r="C100" t="s">
        <v>204</v>
      </c>
      <c r="D100">
        <v>0</v>
      </c>
      <c r="E100">
        <v>0</v>
      </c>
      <c r="F100">
        <v>0</v>
      </c>
    </row>
    <row r="101" spans="1:6" x14ac:dyDescent="0.3">
      <c r="A101" t="s">
        <v>6</v>
      </c>
      <c r="B101" t="s">
        <v>205</v>
      </c>
      <c r="C101" t="s">
        <v>206</v>
      </c>
      <c r="D101">
        <v>0</v>
      </c>
      <c r="E101">
        <v>0</v>
      </c>
      <c r="F101">
        <v>0</v>
      </c>
    </row>
    <row r="102" spans="1:6" x14ac:dyDescent="0.3">
      <c r="A102" t="s">
        <v>6</v>
      </c>
      <c r="B102" t="s">
        <v>207</v>
      </c>
      <c r="C102" t="s">
        <v>208</v>
      </c>
      <c r="D102">
        <v>0</v>
      </c>
      <c r="E102">
        <v>0</v>
      </c>
      <c r="F102">
        <v>0</v>
      </c>
    </row>
    <row r="103" spans="1:6" x14ac:dyDescent="0.3">
      <c r="A103" t="s">
        <v>6</v>
      </c>
      <c r="B103" t="s">
        <v>209</v>
      </c>
      <c r="C103" t="s">
        <v>210</v>
      </c>
      <c r="D103">
        <v>0</v>
      </c>
      <c r="E103">
        <v>0</v>
      </c>
      <c r="F103">
        <v>0</v>
      </c>
    </row>
    <row r="104" spans="1:6" x14ac:dyDescent="0.3">
      <c r="A104" t="s">
        <v>6</v>
      </c>
      <c r="B104" t="s">
        <v>211</v>
      </c>
      <c r="C104" t="s">
        <v>212</v>
      </c>
      <c r="D104">
        <v>0</v>
      </c>
      <c r="E104">
        <v>0</v>
      </c>
      <c r="F104">
        <v>0</v>
      </c>
    </row>
    <row r="105" spans="1:6" x14ac:dyDescent="0.3">
      <c r="A105" t="s">
        <v>6</v>
      </c>
      <c r="B105" t="s">
        <v>213</v>
      </c>
      <c r="C105" t="s">
        <v>214</v>
      </c>
      <c r="D105">
        <v>0</v>
      </c>
      <c r="E105">
        <v>0</v>
      </c>
      <c r="F105">
        <v>0</v>
      </c>
    </row>
    <row r="106" spans="1:6" x14ac:dyDescent="0.3">
      <c r="A106" t="s">
        <v>6</v>
      </c>
      <c r="B106" t="s">
        <v>215</v>
      </c>
      <c r="C106" t="s">
        <v>216</v>
      </c>
      <c r="D106">
        <v>0</v>
      </c>
      <c r="E106">
        <v>0</v>
      </c>
      <c r="F106">
        <v>0</v>
      </c>
    </row>
    <row r="107" spans="1:6" x14ac:dyDescent="0.3">
      <c r="A107" t="s">
        <v>6</v>
      </c>
      <c r="B107" t="s">
        <v>217</v>
      </c>
      <c r="C107" t="s">
        <v>218</v>
      </c>
      <c r="D107">
        <v>0</v>
      </c>
      <c r="E107">
        <v>0</v>
      </c>
      <c r="F107">
        <v>0</v>
      </c>
    </row>
    <row r="108" spans="1:6" x14ac:dyDescent="0.3">
      <c r="A108" t="s">
        <v>6</v>
      </c>
      <c r="B108" t="s">
        <v>219</v>
      </c>
      <c r="C108" t="s">
        <v>220</v>
      </c>
      <c r="D108">
        <v>0</v>
      </c>
      <c r="E108">
        <v>0</v>
      </c>
      <c r="F108">
        <v>0</v>
      </c>
    </row>
    <row r="109" spans="1:6" x14ac:dyDescent="0.3">
      <c r="A109" t="s">
        <v>6</v>
      </c>
      <c r="B109" t="s">
        <v>221</v>
      </c>
      <c r="C109" t="s">
        <v>222</v>
      </c>
      <c r="D109">
        <v>0</v>
      </c>
      <c r="E109">
        <v>0</v>
      </c>
      <c r="F109">
        <v>0</v>
      </c>
    </row>
    <row r="110" spans="1:6" x14ac:dyDescent="0.3">
      <c r="A110" t="s">
        <v>6</v>
      </c>
      <c r="B110" t="s">
        <v>223</v>
      </c>
      <c r="C110" t="s">
        <v>224</v>
      </c>
      <c r="D110">
        <v>0</v>
      </c>
      <c r="E110">
        <v>0</v>
      </c>
      <c r="F110">
        <v>0</v>
      </c>
    </row>
    <row r="111" spans="1:6" x14ac:dyDescent="0.3">
      <c r="A111" t="s">
        <v>6</v>
      </c>
      <c r="B111" t="s">
        <v>225</v>
      </c>
      <c r="C111" t="s">
        <v>226</v>
      </c>
      <c r="D111">
        <v>0</v>
      </c>
      <c r="E111">
        <v>0</v>
      </c>
      <c r="F111">
        <v>0</v>
      </c>
    </row>
    <row r="112" spans="1:6" x14ac:dyDescent="0.3">
      <c r="A112" t="s">
        <v>6</v>
      </c>
      <c r="B112" t="s">
        <v>227</v>
      </c>
      <c r="C112" t="s">
        <v>228</v>
      </c>
      <c r="D112">
        <v>0</v>
      </c>
      <c r="E112">
        <v>0</v>
      </c>
      <c r="F112">
        <v>0</v>
      </c>
    </row>
    <row r="113" spans="1:6" x14ac:dyDescent="0.3">
      <c r="A113" t="s">
        <v>6</v>
      </c>
      <c r="B113" t="s">
        <v>229</v>
      </c>
      <c r="C113" t="s">
        <v>230</v>
      </c>
      <c r="D113">
        <v>0</v>
      </c>
      <c r="E113">
        <v>0</v>
      </c>
      <c r="F113">
        <v>0</v>
      </c>
    </row>
    <row r="114" spans="1:6" x14ac:dyDescent="0.3">
      <c r="A114" t="s">
        <v>6</v>
      </c>
      <c r="B114" t="s">
        <v>231</v>
      </c>
      <c r="C114" t="s">
        <v>232</v>
      </c>
      <c r="D114">
        <v>0</v>
      </c>
      <c r="E114">
        <v>0</v>
      </c>
      <c r="F114">
        <v>0</v>
      </c>
    </row>
    <row r="115" spans="1:6" x14ac:dyDescent="0.3">
      <c r="A115" t="s">
        <v>6</v>
      </c>
      <c r="B115" t="s">
        <v>233</v>
      </c>
      <c r="C115" t="s">
        <v>234</v>
      </c>
      <c r="D115">
        <v>0</v>
      </c>
      <c r="E115">
        <v>0</v>
      </c>
      <c r="F115">
        <v>0</v>
      </c>
    </row>
    <row r="116" spans="1:6" x14ac:dyDescent="0.3">
      <c r="A116" t="s">
        <v>6</v>
      </c>
      <c r="B116" t="s">
        <v>235</v>
      </c>
      <c r="C116" t="s">
        <v>236</v>
      </c>
      <c r="D116">
        <v>0</v>
      </c>
      <c r="E116">
        <v>0</v>
      </c>
      <c r="F116">
        <v>0</v>
      </c>
    </row>
    <row r="117" spans="1:6" x14ac:dyDescent="0.3">
      <c r="A117" t="s">
        <v>6</v>
      </c>
      <c r="B117" t="s">
        <v>237</v>
      </c>
      <c r="C117" t="s">
        <v>238</v>
      </c>
      <c r="D117">
        <v>0</v>
      </c>
      <c r="E117">
        <v>0</v>
      </c>
      <c r="F117">
        <v>0</v>
      </c>
    </row>
    <row r="118" spans="1:6" x14ac:dyDescent="0.3">
      <c r="A118" t="s">
        <v>6</v>
      </c>
      <c r="B118" t="s">
        <v>239</v>
      </c>
      <c r="C118" t="s">
        <v>240</v>
      </c>
      <c r="D118">
        <v>0</v>
      </c>
      <c r="E118">
        <v>0</v>
      </c>
      <c r="F118">
        <v>0</v>
      </c>
    </row>
    <row r="119" spans="1:6" x14ac:dyDescent="0.3">
      <c r="A119" t="s">
        <v>6</v>
      </c>
      <c r="B119" t="s">
        <v>241</v>
      </c>
      <c r="C119" t="s">
        <v>242</v>
      </c>
      <c r="D119">
        <v>0</v>
      </c>
      <c r="E119">
        <v>0</v>
      </c>
      <c r="F119">
        <v>0</v>
      </c>
    </row>
    <row r="120" spans="1:6" x14ac:dyDescent="0.3">
      <c r="A120" t="s">
        <v>6</v>
      </c>
      <c r="B120" t="s">
        <v>243</v>
      </c>
      <c r="C120" t="s">
        <v>244</v>
      </c>
      <c r="D120">
        <v>0</v>
      </c>
      <c r="E120">
        <v>0</v>
      </c>
      <c r="F120">
        <v>0</v>
      </c>
    </row>
    <row r="121" spans="1:6" x14ac:dyDescent="0.3">
      <c r="A121" t="s">
        <v>6</v>
      </c>
      <c r="B121" t="s">
        <v>245</v>
      </c>
      <c r="C121" t="s">
        <v>246</v>
      </c>
      <c r="D121">
        <v>0</v>
      </c>
      <c r="E121">
        <v>0</v>
      </c>
      <c r="F121">
        <v>0</v>
      </c>
    </row>
    <row r="122" spans="1:6" x14ac:dyDescent="0.3">
      <c r="A122" t="s">
        <v>6</v>
      </c>
      <c r="B122" t="s">
        <v>247</v>
      </c>
      <c r="C122" t="s">
        <v>248</v>
      </c>
      <c r="D122">
        <v>0</v>
      </c>
      <c r="E122">
        <v>0</v>
      </c>
      <c r="F122">
        <v>0</v>
      </c>
    </row>
    <row r="123" spans="1:6" x14ac:dyDescent="0.3">
      <c r="A123" t="s">
        <v>6</v>
      </c>
      <c r="B123" t="s">
        <v>249</v>
      </c>
      <c r="C123" t="s">
        <v>250</v>
      </c>
      <c r="D123">
        <v>0</v>
      </c>
      <c r="E123">
        <v>0</v>
      </c>
      <c r="F123">
        <v>0</v>
      </c>
    </row>
    <row r="124" spans="1:6" x14ac:dyDescent="0.3">
      <c r="A124" t="s">
        <v>6</v>
      </c>
      <c r="B124" t="s">
        <v>251</v>
      </c>
      <c r="C124" t="s">
        <v>252</v>
      </c>
      <c r="D124">
        <v>0</v>
      </c>
      <c r="E124">
        <v>0</v>
      </c>
      <c r="F124">
        <v>0</v>
      </c>
    </row>
    <row r="125" spans="1:6" x14ac:dyDescent="0.3">
      <c r="A125" t="s">
        <v>6</v>
      </c>
      <c r="B125" t="s">
        <v>253</v>
      </c>
      <c r="C125" t="s">
        <v>254</v>
      </c>
      <c r="D125">
        <v>0</v>
      </c>
      <c r="E125">
        <v>0</v>
      </c>
      <c r="F125">
        <v>0</v>
      </c>
    </row>
    <row r="126" spans="1:6" x14ac:dyDescent="0.3">
      <c r="A126" t="s">
        <v>6</v>
      </c>
      <c r="B126" t="s">
        <v>255</v>
      </c>
      <c r="C126" t="s">
        <v>256</v>
      </c>
      <c r="D126">
        <v>0</v>
      </c>
      <c r="E126">
        <v>0</v>
      </c>
      <c r="F126">
        <v>0</v>
      </c>
    </row>
    <row r="127" spans="1:6" x14ac:dyDescent="0.3">
      <c r="A127" t="s">
        <v>6</v>
      </c>
      <c r="B127" t="s">
        <v>257</v>
      </c>
      <c r="C127" t="s">
        <v>258</v>
      </c>
      <c r="D127">
        <v>0</v>
      </c>
      <c r="E127">
        <v>0</v>
      </c>
      <c r="F127">
        <v>0</v>
      </c>
    </row>
    <row r="128" spans="1:6" x14ac:dyDescent="0.3">
      <c r="A128" t="s">
        <v>6</v>
      </c>
      <c r="B128" t="s">
        <v>259</v>
      </c>
      <c r="C128" t="s">
        <v>260</v>
      </c>
      <c r="D128">
        <v>0</v>
      </c>
      <c r="E128">
        <v>0</v>
      </c>
      <c r="F128">
        <v>0</v>
      </c>
    </row>
    <row r="129" spans="1:6" x14ac:dyDescent="0.3">
      <c r="A129" t="s">
        <v>6</v>
      </c>
      <c r="B129" t="s">
        <v>261</v>
      </c>
      <c r="C129" t="s">
        <v>262</v>
      </c>
      <c r="D129">
        <v>0</v>
      </c>
      <c r="E129">
        <v>0</v>
      </c>
      <c r="F129">
        <v>0</v>
      </c>
    </row>
    <row r="130" spans="1:6" x14ac:dyDescent="0.3">
      <c r="A130" t="s">
        <v>6</v>
      </c>
      <c r="B130" t="s">
        <v>263</v>
      </c>
      <c r="C130" t="s">
        <v>264</v>
      </c>
      <c r="D130">
        <v>0</v>
      </c>
      <c r="E130">
        <v>0</v>
      </c>
      <c r="F130">
        <v>0</v>
      </c>
    </row>
    <row r="131" spans="1:6" x14ac:dyDescent="0.3">
      <c r="A131" t="s">
        <v>6</v>
      </c>
      <c r="B131" t="s">
        <v>265</v>
      </c>
      <c r="C131" t="s">
        <v>266</v>
      </c>
      <c r="D131">
        <v>0</v>
      </c>
      <c r="E131">
        <v>0</v>
      </c>
      <c r="F131">
        <v>0</v>
      </c>
    </row>
    <row r="132" spans="1:6" x14ac:dyDescent="0.3">
      <c r="A132" t="s">
        <v>6</v>
      </c>
      <c r="B132" t="s">
        <v>267</v>
      </c>
      <c r="C132" t="s">
        <v>268</v>
      </c>
      <c r="D132">
        <v>0</v>
      </c>
      <c r="E132">
        <v>0</v>
      </c>
      <c r="F132">
        <v>0</v>
      </c>
    </row>
    <row r="133" spans="1:6" x14ac:dyDescent="0.3">
      <c r="A133" t="s">
        <v>6</v>
      </c>
      <c r="B133" t="s">
        <v>269</v>
      </c>
      <c r="C133" t="s">
        <v>270</v>
      </c>
      <c r="D133">
        <v>0</v>
      </c>
      <c r="E133">
        <v>0</v>
      </c>
      <c r="F133">
        <v>0</v>
      </c>
    </row>
    <row r="134" spans="1:6" x14ac:dyDescent="0.3">
      <c r="A134" t="s">
        <v>6</v>
      </c>
      <c r="B134" t="s">
        <v>271</v>
      </c>
      <c r="C134" t="s">
        <v>272</v>
      </c>
      <c r="D134">
        <v>0</v>
      </c>
      <c r="E134">
        <v>0</v>
      </c>
      <c r="F134">
        <v>0</v>
      </c>
    </row>
    <row r="135" spans="1:6" x14ac:dyDescent="0.3">
      <c r="A135" t="s">
        <v>6</v>
      </c>
      <c r="B135" t="s">
        <v>273</v>
      </c>
      <c r="C135" t="s">
        <v>274</v>
      </c>
      <c r="D135">
        <v>0</v>
      </c>
      <c r="E135">
        <v>0</v>
      </c>
      <c r="F135">
        <v>0</v>
      </c>
    </row>
    <row r="136" spans="1:6" x14ac:dyDescent="0.3">
      <c r="A136" t="s">
        <v>6</v>
      </c>
      <c r="B136" t="s">
        <v>275</v>
      </c>
      <c r="C136" t="s">
        <v>276</v>
      </c>
      <c r="D136">
        <v>0</v>
      </c>
      <c r="E136">
        <v>0</v>
      </c>
      <c r="F136">
        <v>0</v>
      </c>
    </row>
    <row r="137" spans="1:6" x14ac:dyDescent="0.3">
      <c r="A137" t="s">
        <v>6</v>
      </c>
      <c r="B137" t="s">
        <v>277</v>
      </c>
      <c r="C137" t="s">
        <v>238</v>
      </c>
      <c r="D137">
        <v>0</v>
      </c>
      <c r="E137">
        <v>0</v>
      </c>
      <c r="F137">
        <v>0</v>
      </c>
    </row>
    <row r="138" spans="1:6" x14ac:dyDescent="0.3">
      <c r="A138" t="s">
        <v>6</v>
      </c>
      <c r="B138" t="s">
        <v>278</v>
      </c>
      <c r="C138" t="s">
        <v>279</v>
      </c>
      <c r="D138">
        <v>0</v>
      </c>
      <c r="E138">
        <v>0</v>
      </c>
      <c r="F138">
        <v>0</v>
      </c>
    </row>
    <row r="139" spans="1:6" x14ac:dyDescent="0.3">
      <c r="A139" t="s">
        <v>6</v>
      </c>
      <c r="B139" t="s">
        <v>280</v>
      </c>
      <c r="C139" t="s">
        <v>281</v>
      </c>
      <c r="D139">
        <v>0</v>
      </c>
      <c r="E139">
        <v>0</v>
      </c>
      <c r="F139">
        <v>0</v>
      </c>
    </row>
    <row r="140" spans="1:6" x14ac:dyDescent="0.3">
      <c r="A140" t="s">
        <v>6</v>
      </c>
      <c r="B140" t="s">
        <v>282</v>
      </c>
      <c r="C140" t="s">
        <v>283</v>
      </c>
      <c r="D140">
        <v>0</v>
      </c>
      <c r="E140">
        <v>0</v>
      </c>
      <c r="F140">
        <v>0</v>
      </c>
    </row>
    <row r="141" spans="1:6" x14ac:dyDescent="0.3">
      <c r="A141" t="s">
        <v>6</v>
      </c>
      <c r="B141" t="s">
        <v>284</v>
      </c>
      <c r="C141" t="s">
        <v>285</v>
      </c>
      <c r="D141">
        <v>0</v>
      </c>
      <c r="E141">
        <v>0</v>
      </c>
      <c r="F141">
        <v>0</v>
      </c>
    </row>
    <row r="142" spans="1:6" x14ac:dyDescent="0.3">
      <c r="A142" t="s">
        <v>6</v>
      </c>
      <c r="B142" t="s">
        <v>286</v>
      </c>
      <c r="C142" t="s">
        <v>287</v>
      </c>
      <c r="D142">
        <v>0</v>
      </c>
      <c r="E142">
        <v>0</v>
      </c>
      <c r="F142">
        <v>0</v>
      </c>
    </row>
    <row r="143" spans="1:6" x14ac:dyDescent="0.3">
      <c r="A143" t="s">
        <v>6</v>
      </c>
      <c r="B143" t="s">
        <v>288</v>
      </c>
      <c r="C143" t="s">
        <v>289</v>
      </c>
      <c r="D143">
        <v>0</v>
      </c>
      <c r="E143">
        <v>0</v>
      </c>
      <c r="F143">
        <v>0</v>
      </c>
    </row>
    <row r="144" spans="1:6" x14ac:dyDescent="0.3">
      <c r="A144" t="s">
        <v>6</v>
      </c>
      <c r="B144" t="s">
        <v>290</v>
      </c>
      <c r="C144" t="s">
        <v>291</v>
      </c>
      <c r="D144">
        <v>0</v>
      </c>
      <c r="E144">
        <v>0</v>
      </c>
      <c r="F144">
        <v>0</v>
      </c>
    </row>
    <row r="145" spans="1:6" x14ac:dyDescent="0.3">
      <c r="A145" t="s">
        <v>6</v>
      </c>
      <c r="B145" t="s">
        <v>292</v>
      </c>
      <c r="C145" t="s">
        <v>293</v>
      </c>
      <c r="D145">
        <v>0</v>
      </c>
      <c r="E145">
        <v>0</v>
      </c>
      <c r="F145">
        <v>0</v>
      </c>
    </row>
    <row r="146" spans="1:6" x14ac:dyDescent="0.3">
      <c r="A146" t="s">
        <v>6</v>
      </c>
      <c r="B146" t="s">
        <v>294</v>
      </c>
      <c r="C146" t="s">
        <v>295</v>
      </c>
      <c r="D146">
        <v>0</v>
      </c>
      <c r="E146">
        <v>0</v>
      </c>
      <c r="F146">
        <v>0</v>
      </c>
    </row>
    <row r="147" spans="1:6" x14ac:dyDescent="0.3">
      <c r="A147" t="s">
        <v>6</v>
      </c>
      <c r="B147" t="s">
        <v>296</v>
      </c>
      <c r="C147" t="s">
        <v>297</v>
      </c>
      <c r="D147">
        <v>0</v>
      </c>
      <c r="E147">
        <v>0</v>
      </c>
      <c r="F147">
        <v>0</v>
      </c>
    </row>
    <row r="148" spans="1:6" x14ac:dyDescent="0.3">
      <c r="A148" t="s">
        <v>6</v>
      </c>
      <c r="B148" t="s">
        <v>298</v>
      </c>
      <c r="C148" t="s">
        <v>299</v>
      </c>
      <c r="D148">
        <v>0</v>
      </c>
      <c r="E148">
        <v>0</v>
      </c>
      <c r="F148">
        <v>0</v>
      </c>
    </row>
    <row r="149" spans="1:6" x14ac:dyDescent="0.3">
      <c r="A149" t="s">
        <v>6</v>
      </c>
      <c r="B149" t="s">
        <v>300</v>
      </c>
      <c r="C149" t="s">
        <v>301</v>
      </c>
      <c r="D149">
        <v>0</v>
      </c>
      <c r="E149">
        <v>0</v>
      </c>
      <c r="F149">
        <v>0</v>
      </c>
    </row>
    <row r="150" spans="1:6" x14ac:dyDescent="0.3">
      <c r="A150" t="s">
        <v>6</v>
      </c>
      <c r="B150" t="s">
        <v>302</v>
      </c>
      <c r="C150" t="s">
        <v>303</v>
      </c>
      <c r="D150">
        <v>0</v>
      </c>
      <c r="E150">
        <v>0</v>
      </c>
      <c r="F150">
        <v>0</v>
      </c>
    </row>
    <row r="151" spans="1:6" x14ac:dyDescent="0.3">
      <c r="A151" t="s">
        <v>6</v>
      </c>
      <c r="B151" t="s">
        <v>304</v>
      </c>
      <c r="C151" t="s">
        <v>305</v>
      </c>
      <c r="D151">
        <v>0</v>
      </c>
      <c r="E151">
        <v>0</v>
      </c>
      <c r="F151">
        <v>0</v>
      </c>
    </row>
    <row r="152" spans="1:6" x14ac:dyDescent="0.3">
      <c r="A152" t="s">
        <v>6</v>
      </c>
      <c r="B152" t="s">
        <v>306</v>
      </c>
      <c r="C152" t="s">
        <v>307</v>
      </c>
      <c r="D152">
        <v>0</v>
      </c>
      <c r="E152">
        <v>0</v>
      </c>
      <c r="F152">
        <v>0</v>
      </c>
    </row>
    <row r="153" spans="1:6" x14ac:dyDescent="0.3">
      <c r="A153" t="s">
        <v>6</v>
      </c>
      <c r="B153" t="s">
        <v>308</v>
      </c>
      <c r="C153" t="s">
        <v>309</v>
      </c>
      <c r="D153">
        <v>0</v>
      </c>
      <c r="E153">
        <v>0</v>
      </c>
      <c r="F153">
        <v>0</v>
      </c>
    </row>
    <row r="154" spans="1:6" x14ac:dyDescent="0.3">
      <c r="A154" t="s">
        <v>6</v>
      </c>
      <c r="B154" t="s">
        <v>310</v>
      </c>
      <c r="C154" t="s">
        <v>311</v>
      </c>
      <c r="D154">
        <v>0</v>
      </c>
      <c r="E154">
        <v>0</v>
      </c>
      <c r="F154">
        <v>0</v>
      </c>
    </row>
    <row r="155" spans="1:6" x14ac:dyDescent="0.3">
      <c r="A155" t="s">
        <v>6</v>
      </c>
      <c r="B155" t="s">
        <v>312</v>
      </c>
      <c r="C155" t="s">
        <v>313</v>
      </c>
      <c r="D155">
        <v>0</v>
      </c>
      <c r="E155">
        <v>0</v>
      </c>
      <c r="F155">
        <v>0</v>
      </c>
    </row>
    <row r="156" spans="1:6" x14ac:dyDescent="0.3">
      <c r="A156" t="s">
        <v>6</v>
      </c>
      <c r="B156" t="s">
        <v>314</v>
      </c>
      <c r="C156" t="s">
        <v>315</v>
      </c>
      <c r="D156">
        <v>0</v>
      </c>
      <c r="E156">
        <v>0</v>
      </c>
      <c r="F156">
        <v>0</v>
      </c>
    </row>
    <row r="157" spans="1:6" x14ac:dyDescent="0.3">
      <c r="A157" t="s">
        <v>6</v>
      </c>
      <c r="B157" t="s">
        <v>316</v>
      </c>
      <c r="C157" t="s">
        <v>317</v>
      </c>
      <c r="D157">
        <v>0</v>
      </c>
      <c r="E157">
        <v>0</v>
      </c>
      <c r="F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FF4F-9F48-49A9-99AD-6EAFF3393A45}">
  <dimension ref="A1:F10"/>
  <sheetViews>
    <sheetView workbookViewId="0">
      <selection activeCell="B15" sqref="B15"/>
    </sheetView>
  </sheetViews>
  <sheetFormatPr defaultRowHeight="15.6" x14ac:dyDescent="0.3"/>
  <cols>
    <col min="3" max="3" width="17.1796875" customWidth="1"/>
    <col min="4" max="4" width="14.81640625" customWidth="1"/>
    <col min="5" max="5" width="12.90625" customWidth="1"/>
    <col min="6" max="6" width="13.2695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318</v>
      </c>
      <c r="B2" t="s">
        <v>319</v>
      </c>
      <c r="C2" t="s">
        <v>320</v>
      </c>
      <c r="D2">
        <v>0</v>
      </c>
      <c r="E2">
        <v>0</v>
      </c>
      <c r="F2">
        <v>0</v>
      </c>
    </row>
    <row r="3" spans="1:6" x14ac:dyDescent="0.3">
      <c r="A3" t="s">
        <v>318</v>
      </c>
      <c r="B3" t="s">
        <v>321</v>
      </c>
      <c r="C3" t="s">
        <v>322</v>
      </c>
      <c r="D3">
        <v>0</v>
      </c>
      <c r="E3">
        <v>0</v>
      </c>
      <c r="F3">
        <v>0</v>
      </c>
    </row>
    <row r="4" spans="1:6" x14ac:dyDescent="0.3">
      <c r="A4" t="s">
        <v>318</v>
      </c>
      <c r="B4" t="s">
        <v>323</v>
      </c>
      <c r="C4" t="s">
        <v>324</v>
      </c>
      <c r="D4">
        <v>0</v>
      </c>
      <c r="E4">
        <v>0</v>
      </c>
      <c r="F4">
        <v>0</v>
      </c>
    </row>
    <row r="5" spans="1:6" x14ac:dyDescent="0.3">
      <c r="A5" t="s">
        <v>318</v>
      </c>
      <c r="B5" t="s">
        <v>325</v>
      </c>
      <c r="C5" t="s">
        <v>326</v>
      </c>
      <c r="D5">
        <v>0</v>
      </c>
      <c r="E5">
        <v>0</v>
      </c>
      <c r="F5">
        <v>0</v>
      </c>
    </row>
    <row r="6" spans="1:6" x14ac:dyDescent="0.3">
      <c r="A6" t="s">
        <v>318</v>
      </c>
      <c r="B6" t="s">
        <v>327</v>
      </c>
      <c r="C6" t="s">
        <v>328</v>
      </c>
      <c r="D6">
        <v>0</v>
      </c>
      <c r="E6">
        <v>0</v>
      </c>
      <c r="F6">
        <v>0</v>
      </c>
    </row>
    <row r="7" spans="1:6" x14ac:dyDescent="0.3">
      <c r="A7" t="s">
        <v>318</v>
      </c>
      <c r="B7" t="s">
        <v>329</v>
      </c>
      <c r="C7" t="s">
        <v>330</v>
      </c>
      <c r="D7">
        <v>0</v>
      </c>
      <c r="E7">
        <v>0</v>
      </c>
      <c r="F7">
        <v>0</v>
      </c>
    </row>
    <row r="8" spans="1:6" x14ac:dyDescent="0.3">
      <c r="A8" t="s">
        <v>318</v>
      </c>
      <c r="B8" t="s">
        <v>331</v>
      </c>
      <c r="C8" t="s">
        <v>332</v>
      </c>
      <c r="D8">
        <v>0</v>
      </c>
      <c r="E8">
        <v>0</v>
      </c>
      <c r="F8">
        <v>0</v>
      </c>
    </row>
    <row r="9" spans="1:6" x14ac:dyDescent="0.3">
      <c r="A9" t="s">
        <v>318</v>
      </c>
      <c r="B9" t="s">
        <v>333</v>
      </c>
      <c r="C9" t="s">
        <v>334</v>
      </c>
      <c r="D9">
        <v>0</v>
      </c>
      <c r="E9">
        <v>0</v>
      </c>
      <c r="F9">
        <v>0</v>
      </c>
    </row>
    <row r="10" spans="1:6" x14ac:dyDescent="0.3">
      <c r="A10" t="s">
        <v>318</v>
      </c>
      <c r="B10" t="s">
        <v>335</v>
      </c>
      <c r="C10" t="s">
        <v>336</v>
      </c>
      <c r="D10">
        <v>0</v>
      </c>
      <c r="E10">
        <v>0</v>
      </c>
      <c r="F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578F-2315-4B7E-BFFF-85A1C02CC276}">
  <dimension ref="A1:Q4"/>
  <sheetViews>
    <sheetView topLeftCell="N1" workbookViewId="0">
      <selection activeCell="Q13" sqref="Q13"/>
    </sheetView>
  </sheetViews>
  <sheetFormatPr defaultRowHeight="15.6" x14ac:dyDescent="0.3"/>
  <cols>
    <col min="3" max="3" width="19.81640625" customWidth="1"/>
  </cols>
  <sheetData>
    <row r="1" spans="1:17" x14ac:dyDescent="0.3">
      <c r="A1" t="s">
        <v>0</v>
      </c>
      <c r="B1" t="s">
        <v>337</v>
      </c>
      <c r="C1" t="s">
        <v>338</v>
      </c>
      <c r="O1" t="s">
        <v>0</v>
      </c>
      <c r="P1" t="s">
        <v>337</v>
      </c>
      <c r="Q1" t="s">
        <v>338</v>
      </c>
    </row>
    <row r="2" spans="1:17" x14ac:dyDescent="0.3">
      <c r="A2" t="s">
        <v>339</v>
      </c>
      <c r="B2" t="s">
        <v>340</v>
      </c>
      <c r="C2" t="s">
        <v>341</v>
      </c>
      <c r="O2" t="s">
        <v>342</v>
      </c>
      <c r="P2" t="s">
        <v>343</v>
      </c>
      <c r="Q2" t="s">
        <v>344</v>
      </c>
    </row>
    <row r="3" spans="1:17" x14ac:dyDescent="0.3">
      <c r="A3" t="s">
        <v>342</v>
      </c>
      <c r="B3" t="s">
        <v>343</v>
      </c>
      <c r="C3" t="s">
        <v>344</v>
      </c>
      <c r="O3" t="s">
        <v>345</v>
      </c>
      <c r="P3" t="s">
        <v>346</v>
      </c>
      <c r="Q3" t="s">
        <v>347</v>
      </c>
    </row>
    <row r="4" spans="1:17" x14ac:dyDescent="0.3">
      <c r="A4" t="s">
        <v>345</v>
      </c>
      <c r="B4" t="s">
        <v>346</v>
      </c>
      <c r="C4" t="s">
        <v>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7762A-6BCB-4C2A-984F-8234A7C7D7D9}">
  <dimension ref="A1:S7"/>
  <sheetViews>
    <sheetView topLeftCell="M1" workbookViewId="0">
      <selection activeCell="P18" sqref="P18"/>
    </sheetView>
  </sheetViews>
  <sheetFormatPr defaultRowHeight="15.6" x14ac:dyDescent="0.3"/>
  <cols>
    <col min="3" max="3" width="28.54296875" customWidth="1"/>
    <col min="16" max="16" width="27.2695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N1" t="s">
        <v>0</v>
      </c>
      <c r="O1" t="s">
        <v>1</v>
      </c>
      <c r="P1" t="s">
        <v>2</v>
      </c>
      <c r="Q1" t="s">
        <v>3</v>
      </c>
      <c r="R1" t="s">
        <v>4</v>
      </c>
      <c r="S1" t="s">
        <v>5</v>
      </c>
    </row>
    <row r="2" spans="1:19" x14ac:dyDescent="0.3">
      <c r="A2" t="s">
        <v>6</v>
      </c>
      <c r="B2" t="s">
        <v>348</v>
      </c>
      <c r="C2" t="s">
        <v>349</v>
      </c>
      <c r="D2">
        <v>0</v>
      </c>
      <c r="E2">
        <v>0</v>
      </c>
      <c r="F2">
        <v>0</v>
      </c>
      <c r="N2" t="s">
        <v>6</v>
      </c>
      <c r="O2" t="s">
        <v>348</v>
      </c>
      <c r="P2" t="s">
        <v>349</v>
      </c>
      <c r="Q2">
        <v>0</v>
      </c>
      <c r="R2">
        <v>0</v>
      </c>
      <c r="S2">
        <v>0</v>
      </c>
    </row>
    <row r="3" spans="1:19" x14ac:dyDescent="0.3">
      <c r="A3" t="s">
        <v>6</v>
      </c>
      <c r="B3" t="s">
        <v>350</v>
      </c>
      <c r="C3" t="s">
        <v>351</v>
      </c>
      <c r="D3">
        <v>0</v>
      </c>
      <c r="E3">
        <v>0</v>
      </c>
      <c r="F3">
        <v>0</v>
      </c>
      <c r="N3" t="s">
        <v>6</v>
      </c>
      <c r="O3" t="s">
        <v>350</v>
      </c>
      <c r="P3" t="s">
        <v>351</v>
      </c>
      <c r="Q3">
        <v>0</v>
      </c>
      <c r="R3">
        <v>0</v>
      </c>
      <c r="S3">
        <v>0</v>
      </c>
    </row>
    <row r="4" spans="1:19" x14ac:dyDescent="0.3">
      <c r="A4" t="s">
        <v>6</v>
      </c>
      <c r="B4" t="s">
        <v>352</v>
      </c>
      <c r="C4" t="s">
        <v>353</v>
      </c>
      <c r="D4">
        <v>0</v>
      </c>
      <c r="E4">
        <v>0</v>
      </c>
      <c r="F4">
        <v>0</v>
      </c>
      <c r="N4" t="s">
        <v>6</v>
      </c>
      <c r="O4" t="s">
        <v>352</v>
      </c>
      <c r="P4" t="s">
        <v>353</v>
      </c>
      <c r="Q4">
        <v>0</v>
      </c>
      <c r="R4">
        <v>0</v>
      </c>
      <c r="S4">
        <v>0</v>
      </c>
    </row>
    <row r="5" spans="1:19" x14ac:dyDescent="0.3">
      <c r="A5" t="s">
        <v>6</v>
      </c>
      <c r="B5" t="s">
        <v>354</v>
      </c>
      <c r="C5" t="s">
        <v>355</v>
      </c>
      <c r="D5">
        <v>0</v>
      </c>
      <c r="E5">
        <v>0</v>
      </c>
      <c r="F5">
        <v>0</v>
      </c>
      <c r="N5" t="s">
        <v>6</v>
      </c>
      <c r="O5" t="s">
        <v>354</v>
      </c>
      <c r="P5" t="s">
        <v>355</v>
      </c>
      <c r="Q5">
        <v>0</v>
      </c>
      <c r="R5">
        <v>0</v>
      </c>
      <c r="S5">
        <v>0</v>
      </c>
    </row>
    <row r="6" spans="1:19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N6" t="s">
        <v>0</v>
      </c>
      <c r="O6" t="s">
        <v>1</v>
      </c>
      <c r="P6" t="s">
        <v>2</v>
      </c>
      <c r="Q6" t="s">
        <v>3</v>
      </c>
      <c r="R6" t="s">
        <v>4</v>
      </c>
      <c r="S6" t="s">
        <v>5</v>
      </c>
    </row>
    <row r="7" spans="1:19" x14ac:dyDescent="0.3">
      <c r="A7" t="s">
        <v>356</v>
      </c>
      <c r="B7" t="s">
        <v>357</v>
      </c>
      <c r="C7" t="s">
        <v>358</v>
      </c>
      <c r="D7">
        <v>0</v>
      </c>
      <c r="E7">
        <v>0</v>
      </c>
      <c r="F7">
        <v>0</v>
      </c>
      <c r="N7" t="s">
        <v>356</v>
      </c>
      <c r="O7" t="s">
        <v>357</v>
      </c>
      <c r="P7" t="s">
        <v>358</v>
      </c>
      <c r="Q7">
        <v>0</v>
      </c>
      <c r="R7">
        <v>0</v>
      </c>
      <c r="S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6D94-D51A-424E-A5F4-02121703262C}">
  <dimension ref="A1:C4"/>
  <sheetViews>
    <sheetView workbookViewId="0">
      <selection activeCell="F14" sqref="F14"/>
    </sheetView>
  </sheetViews>
  <sheetFormatPr defaultRowHeight="15.6" x14ac:dyDescent="0.3"/>
  <cols>
    <col min="1" max="1" width="11.26953125" customWidth="1"/>
    <col min="2" max="2" width="11.7265625" customWidth="1"/>
    <col min="3" max="3" width="21.36328125" customWidth="1"/>
  </cols>
  <sheetData>
    <row r="1" spans="1:3" x14ac:dyDescent="0.3">
      <c r="A1" t="s">
        <v>0</v>
      </c>
      <c r="B1" t="s">
        <v>337</v>
      </c>
      <c r="C1" t="s">
        <v>338</v>
      </c>
    </row>
    <row r="2" spans="1:3" x14ac:dyDescent="0.3">
      <c r="A2" t="s">
        <v>342</v>
      </c>
      <c r="B2" t="s">
        <v>359</v>
      </c>
      <c r="C2" t="s">
        <v>360</v>
      </c>
    </row>
    <row r="3" spans="1:3" x14ac:dyDescent="0.3">
      <c r="A3" t="s">
        <v>339</v>
      </c>
      <c r="B3" t="s">
        <v>361</v>
      </c>
      <c r="C3" t="s">
        <v>362</v>
      </c>
    </row>
    <row r="4" spans="1:3" x14ac:dyDescent="0.3">
      <c r="A4" t="s">
        <v>345</v>
      </c>
      <c r="B4" t="s">
        <v>363</v>
      </c>
      <c r="C4" t="s">
        <v>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E636-7280-4FF1-9CDC-F3EE490DFB85}">
  <dimension ref="A1:G193"/>
  <sheetViews>
    <sheetView topLeftCell="A15" workbookViewId="0">
      <selection activeCell="B14" sqref="B14"/>
    </sheetView>
  </sheetViews>
  <sheetFormatPr defaultRowHeight="15.6" x14ac:dyDescent="0.3"/>
  <cols>
    <col min="3" max="3" width="17.45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365</v>
      </c>
      <c r="E1" t="s">
        <v>366</v>
      </c>
      <c r="F1" t="s">
        <v>3</v>
      </c>
      <c r="G1" t="s">
        <v>4</v>
      </c>
    </row>
    <row r="2" spans="1:7" x14ac:dyDescent="0.3">
      <c r="A2" t="s">
        <v>367</v>
      </c>
      <c r="B2" t="str">
        <f>"101000"</f>
        <v>101000</v>
      </c>
      <c r="C2" t="s">
        <v>368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367</v>
      </c>
      <c r="B3" t="str">
        <f>"101200"</f>
        <v>101200</v>
      </c>
      <c r="C3" t="s">
        <v>369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367</v>
      </c>
      <c r="B4" t="str">
        <f>"101300"</f>
        <v>101300</v>
      </c>
      <c r="C4" t="s">
        <v>370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367</v>
      </c>
      <c r="B5" t="str">
        <f>"121100"</f>
        <v>121100</v>
      </c>
      <c r="C5" t="s">
        <v>371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367</v>
      </c>
      <c r="B6" t="str">
        <f>"129100"</f>
        <v>129100</v>
      </c>
      <c r="C6" t="s">
        <v>372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367</v>
      </c>
      <c r="B7" t="str">
        <f>"130100"</f>
        <v>130100</v>
      </c>
      <c r="C7" t="s">
        <v>373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367</v>
      </c>
      <c r="B8" t="str">
        <f>"130900"</f>
        <v>130900</v>
      </c>
      <c r="C8" t="s">
        <v>374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367</v>
      </c>
      <c r="B9" t="str">
        <f>"131000"</f>
        <v>131000</v>
      </c>
      <c r="C9" t="s">
        <v>375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367</v>
      </c>
      <c r="B10" t="str">
        <f>"235100"</f>
        <v>235100</v>
      </c>
      <c r="C10" t="s">
        <v>376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367</v>
      </c>
      <c r="B11" t="str">
        <f>"244100"</f>
        <v>244100</v>
      </c>
      <c r="C11" t="s">
        <v>377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367</v>
      </c>
      <c r="B12" t="str">
        <f>"244400"</f>
        <v>244400</v>
      </c>
      <c r="C12" t="s">
        <v>378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367</v>
      </c>
      <c r="B13" t="str">
        <f>"245100"</f>
        <v>245100</v>
      </c>
      <c r="C13" t="s">
        <v>379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367</v>
      </c>
      <c r="B14" t="str">
        <f>"275100"</f>
        <v>275100</v>
      </c>
      <c r="C14" t="s">
        <v>380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367</v>
      </c>
      <c r="B15" t="str">
        <f>"275800"</f>
        <v>275800</v>
      </c>
      <c r="C15" t="s">
        <v>381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367</v>
      </c>
      <c r="B16" t="str">
        <f>"278000"</f>
        <v>278000</v>
      </c>
      <c r="C16" t="s">
        <v>382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367</v>
      </c>
      <c r="B17" t="str">
        <f>"284400"</f>
        <v>284400</v>
      </c>
      <c r="C17" t="s">
        <v>383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367</v>
      </c>
      <c r="B18" t="str">
        <f>"284500"</f>
        <v>284500</v>
      </c>
      <c r="C18" t="s">
        <v>384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367</v>
      </c>
      <c r="B19" t="str">
        <f>"401000"</f>
        <v>401000</v>
      </c>
      <c r="C19" t="s">
        <v>385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367</v>
      </c>
      <c r="B20" t="str">
        <f>"401200"</f>
        <v>401200</v>
      </c>
      <c r="C20" t="s">
        <v>386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367</v>
      </c>
      <c r="B21" t="str">
        <f>"408100"</f>
        <v>408100</v>
      </c>
      <c r="C21" t="s">
        <v>387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367</v>
      </c>
      <c r="B22" t="str">
        <f>"411000"</f>
        <v>411000</v>
      </c>
      <c r="C22" t="s">
        <v>388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367</v>
      </c>
      <c r="B23" t="str">
        <f>"421100"</f>
        <v>421100</v>
      </c>
      <c r="C23" t="s">
        <v>389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367</v>
      </c>
      <c r="B24" t="str">
        <f>"421110"</f>
        <v>421110</v>
      </c>
      <c r="C24" t="s">
        <v>390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367</v>
      </c>
      <c r="B25" t="str">
        <f>"421300"</f>
        <v>421300</v>
      </c>
      <c r="C25" t="s">
        <v>391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367</v>
      </c>
      <c r="B26" t="str">
        <f>"422000"</f>
        <v>422000</v>
      </c>
      <c r="C26" t="s">
        <v>392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367</v>
      </c>
      <c r="B27" t="str">
        <f>"422100"</f>
        <v>422100</v>
      </c>
      <c r="C27" t="s">
        <v>393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367</v>
      </c>
      <c r="B28" t="str">
        <f>"431100"</f>
        <v>431100</v>
      </c>
      <c r="C28" t="s">
        <v>394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367</v>
      </c>
      <c r="B29" t="str">
        <f>"431200"</f>
        <v>431200</v>
      </c>
      <c r="C29" t="s">
        <v>395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367</v>
      </c>
      <c r="B30" t="str">
        <f>"431300"</f>
        <v>431300</v>
      </c>
      <c r="C30" t="s">
        <v>396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367</v>
      </c>
      <c r="B31" t="str">
        <f>"431400"</f>
        <v>431400</v>
      </c>
      <c r="C31" t="s">
        <v>397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367</v>
      </c>
      <c r="B32" t="str">
        <f>"431500"</f>
        <v>431500</v>
      </c>
      <c r="C32" t="s">
        <v>398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367</v>
      </c>
      <c r="B33" t="str">
        <f>"441000"</f>
        <v>441000</v>
      </c>
      <c r="C33" t="s">
        <v>399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367</v>
      </c>
      <c r="B34" t="str">
        <f>"443200"</f>
        <v>443200</v>
      </c>
      <c r="C34" t="s">
        <v>400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367</v>
      </c>
      <c r="B35" t="str">
        <f>"444000"</f>
        <v>444000</v>
      </c>
      <c r="C35" t="s">
        <v>401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367</v>
      </c>
      <c r="B36" t="str">
        <f>"444900"</f>
        <v>444900</v>
      </c>
      <c r="C36" t="s">
        <v>402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367</v>
      </c>
      <c r="B37" t="str">
        <f>"445400"</f>
        <v>445400</v>
      </c>
      <c r="C37" t="s">
        <v>403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367</v>
      </c>
      <c r="B38" t="str">
        <f>"446000"</f>
        <v>446000</v>
      </c>
      <c r="C38" t="s">
        <v>404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367</v>
      </c>
      <c r="B39" t="str">
        <f>"447110"</f>
        <v>447110</v>
      </c>
      <c r="C39" t="s">
        <v>405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367</v>
      </c>
      <c r="B40" t="str">
        <f>"447120"</f>
        <v>447120</v>
      </c>
      <c r="C40" t="s">
        <v>406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367</v>
      </c>
      <c r="B41" t="str">
        <f>"447200"</f>
        <v>447200</v>
      </c>
      <c r="C41" t="s">
        <v>407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367</v>
      </c>
      <c r="B42" t="str">
        <f>"447210"</f>
        <v>447210</v>
      </c>
      <c r="C42" t="s">
        <v>408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367</v>
      </c>
      <c r="B43" t="str">
        <f>"447300"</f>
        <v>447300</v>
      </c>
      <c r="C43" t="s">
        <v>409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367</v>
      </c>
      <c r="B44" t="str">
        <f>"461200"</f>
        <v>461200</v>
      </c>
      <c r="C44" t="s">
        <v>410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367</v>
      </c>
      <c r="B45" t="str">
        <f>"461300"</f>
        <v>461300</v>
      </c>
      <c r="C45" t="s">
        <v>411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367</v>
      </c>
      <c r="B46" t="str">
        <f>"462100"</f>
        <v>462100</v>
      </c>
      <c r="C46" t="s">
        <v>412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367</v>
      </c>
      <c r="B47" t="str">
        <f>"471121"</f>
        <v>471121</v>
      </c>
      <c r="C47" t="s">
        <v>413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367</v>
      </c>
      <c r="B48" t="str">
        <f>"471150"</f>
        <v>471150</v>
      </c>
      <c r="C48" t="s">
        <v>414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367</v>
      </c>
      <c r="B49" t="str">
        <f>"471160"</f>
        <v>471160</v>
      </c>
      <c r="C49" t="s">
        <v>415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367</v>
      </c>
      <c r="B50" t="str">
        <f>"471170"</f>
        <v>471170</v>
      </c>
      <c r="C50" t="s">
        <v>416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367</v>
      </c>
      <c r="B51" t="str">
        <f>"471180"</f>
        <v>471180</v>
      </c>
      <c r="C51" t="s">
        <v>417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367</v>
      </c>
      <c r="B52" t="str">
        <f>"471190"</f>
        <v>471190</v>
      </c>
      <c r="C52" t="s">
        <v>418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367</v>
      </c>
      <c r="B53" t="str">
        <f>"471500"</f>
        <v>471500</v>
      </c>
      <c r="C53" t="s">
        <v>419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367</v>
      </c>
      <c r="B54" t="str">
        <f>"473000"</f>
        <v>473000</v>
      </c>
      <c r="C54" t="s">
        <v>420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367</v>
      </c>
      <c r="B55" t="str">
        <f>"473100"</f>
        <v>473100</v>
      </c>
      <c r="C55" t="s">
        <v>420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367</v>
      </c>
      <c r="B56" t="str">
        <f>"476000"</f>
        <v>476000</v>
      </c>
      <c r="C56" t="s">
        <v>421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367</v>
      </c>
      <c r="B57" t="str">
        <f>"4761000"</f>
        <v>4761000</v>
      </c>
      <c r="C57" t="s">
        <v>422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367</v>
      </c>
      <c r="B58" t="str">
        <f>"477100"</f>
        <v>477100</v>
      </c>
      <c r="C58" t="s">
        <v>423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367</v>
      </c>
      <c r="B59" t="str">
        <f>"481000"</f>
        <v>481000</v>
      </c>
      <c r="C59" t="s">
        <v>424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367</v>
      </c>
      <c r="B60" t="str">
        <f>"521000"</f>
        <v>521000</v>
      </c>
      <c r="C60" t="s">
        <v>425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367</v>
      </c>
      <c r="B61" t="str">
        <f>"571100"</f>
        <v>571100</v>
      </c>
      <c r="C61" t="s">
        <v>426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367</v>
      </c>
      <c r="B62" t="str">
        <f>"585000"</f>
        <v>585000</v>
      </c>
      <c r="C62" t="s">
        <v>427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367</v>
      </c>
      <c r="B63" t="str">
        <f>"58500"</f>
        <v>58500</v>
      </c>
      <c r="C63" t="s">
        <v>427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428</v>
      </c>
      <c r="B64" t="str">
        <f>"600000"</f>
        <v>600000</v>
      </c>
      <c r="C64" t="s">
        <v>429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367</v>
      </c>
      <c r="B65" t="str">
        <f>"604710"</f>
        <v>604710</v>
      </c>
      <c r="C65" t="s">
        <v>430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367</v>
      </c>
      <c r="B66" t="str">
        <f>"605100"</f>
        <v>605100</v>
      </c>
      <c r="C66" t="s">
        <v>431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367</v>
      </c>
      <c r="B67" t="str">
        <f>"605200"</f>
        <v>605200</v>
      </c>
      <c r="C67" t="s">
        <v>432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367</v>
      </c>
      <c r="B68" t="str">
        <f>"605300"</f>
        <v>605300</v>
      </c>
      <c r="C68" t="s">
        <v>433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367</v>
      </c>
      <c r="B69" t="str">
        <f>"605410"</f>
        <v>605410</v>
      </c>
      <c r="C69" t="s">
        <v>434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367</v>
      </c>
      <c r="B70" t="str">
        <f>"605420"</f>
        <v>605420</v>
      </c>
      <c r="C70" t="s">
        <v>435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367</v>
      </c>
      <c r="B71" t="str">
        <f>"605500"</f>
        <v>605500</v>
      </c>
      <c r="C71" t="s">
        <v>436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367</v>
      </c>
      <c r="B72" t="str">
        <f>"605520"</f>
        <v>605520</v>
      </c>
      <c r="C72" t="s">
        <v>437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367</v>
      </c>
      <c r="B73" t="str">
        <f>"605600"</f>
        <v>605600</v>
      </c>
      <c r="C73" t="s">
        <v>438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367</v>
      </c>
      <c r="B74" t="str">
        <f>"605700"</f>
        <v>605700</v>
      </c>
      <c r="C74" t="s">
        <v>439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367</v>
      </c>
      <c r="B75" t="str">
        <f>"605800"</f>
        <v>605800</v>
      </c>
      <c r="C75" t="s">
        <v>440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367</v>
      </c>
      <c r="B76" t="str">
        <f>"616000"</f>
        <v>616000</v>
      </c>
      <c r="C76" t="s">
        <v>441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367</v>
      </c>
      <c r="B77" t="str">
        <f>"618100"</f>
        <v>618100</v>
      </c>
      <c r="C77" t="s">
        <v>442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367</v>
      </c>
      <c r="B78" t="str">
        <f>"621100"</f>
        <v>621100</v>
      </c>
      <c r="C78" t="s">
        <v>443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367</v>
      </c>
      <c r="B79" t="str">
        <f>"621200"</f>
        <v>621200</v>
      </c>
      <c r="C79" t="s">
        <v>444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428</v>
      </c>
      <c r="B80" t="str">
        <f>"621"</f>
        <v>621</v>
      </c>
      <c r="C80" t="s">
        <v>445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367</v>
      </c>
      <c r="B81" t="str">
        <f>"622000"</f>
        <v>622000</v>
      </c>
      <c r="C81" t="s">
        <v>446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367</v>
      </c>
      <c r="B82" t="str">
        <f>"622800"</f>
        <v>622800</v>
      </c>
      <c r="C82" t="s">
        <v>447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367</v>
      </c>
      <c r="B83" t="str">
        <f>"622810"</f>
        <v>622810</v>
      </c>
      <c r="C83" t="s">
        <v>448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367</v>
      </c>
      <c r="B84" t="str">
        <f>"624110"</f>
        <v>624110</v>
      </c>
      <c r="C84" t="s">
        <v>449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367</v>
      </c>
      <c r="B85" t="str">
        <f>"624300"</f>
        <v>624300</v>
      </c>
      <c r="C85" t="s">
        <v>450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367</v>
      </c>
      <c r="B86" t="str">
        <f>"624310"</f>
        <v>624310</v>
      </c>
      <c r="C86" t="s">
        <v>451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367</v>
      </c>
      <c r="B87" t="str">
        <f>"624320"</f>
        <v>624320</v>
      </c>
      <c r="C87" t="s">
        <v>452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367</v>
      </c>
      <c r="B88" t="str">
        <f>"624800"</f>
        <v>624800</v>
      </c>
      <c r="C88" t="s">
        <v>453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367</v>
      </c>
      <c r="B89" t="str">
        <f>"62500"</f>
        <v>62500</v>
      </c>
      <c r="C89" t="s">
        <v>454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367</v>
      </c>
      <c r="B90" t="str">
        <f>"625200"</f>
        <v>625200</v>
      </c>
      <c r="C90" t="s">
        <v>455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367</v>
      </c>
      <c r="B91" t="str">
        <f>"626500"</f>
        <v>626500</v>
      </c>
      <c r="C91" t="s">
        <v>456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367</v>
      </c>
      <c r="B92" t="str">
        <f>"627100"</f>
        <v>627100</v>
      </c>
      <c r="C92" t="s">
        <v>457</v>
      </c>
      <c r="D92">
        <v>0</v>
      </c>
      <c r="E92">
        <v>0</v>
      </c>
      <c r="F92">
        <v>0</v>
      </c>
      <c r="G92">
        <v>0</v>
      </c>
    </row>
    <row r="93" spans="1:7" x14ac:dyDescent="0.3">
      <c r="A93" t="s">
        <v>367</v>
      </c>
      <c r="B93" t="str">
        <f>"627200"</f>
        <v>627200</v>
      </c>
      <c r="C93" t="s">
        <v>458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367</v>
      </c>
      <c r="B94" t="str">
        <f>"627400"</f>
        <v>627400</v>
      </c>
      <c r="C94" t="s">
        <v>459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367</v>
      </c>
      <c r="B95" t="str">
        <f>"627500"</f>
        <v>627500</v>
      </c>
      <c r="C95" t="s">
        <v>460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367</v>
      </c>
      <c r="B96" t="str">
        <f>"627600"</f>
        <v>627600</v>
      </c>
      <c r="C96" t="s">
        <v>461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367</v>
      </c>
      <c r="B97" t="str">
        <f>"627800"</f>
        <v>627800</v>
      </c>
      <c r="C97" t="s">
        <v>462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367</v>
      </c>
      <c r="B98" t="str">
        <f>"628100"</f>
        <v>628100</v>
      </c>
      <c r="C98" t="s">
        <v>463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367</v>
      </c>
      <c r="B99" t="str">
        <f>"628110"</f>
        <v>628110</v>
      </c>
      <c r="C99" t="s">
        <v>464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367</v>
      </c>
      <c r="B100" t="str">
        <f>"628300"</f>
        <v>628300</v>
      </c>
      <c r="C100" t="s">
        <v>465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367</v>
      </c>
      <c r="B101" t="str">
        <f>"628800"</f>
        <v>628800</v>
      </c>
      <c r="C101" t="s">
        <v>466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367</v>
      </c>
      <c r="B102" t="str">
        <f>"631700"</f>
        <v>631700</v>
      </c>
      <c r="C102" t="s">
        <v>467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367</v>
      </c>
      <c r="B103" t="str">
        <f>"631800"</f>
        <v>631800</v>
      </c>
      <c r="C103" t="s">
        <v>468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367</v>
      </c>
      <c r="B104" t="str">
        <f>"632400"</f>
        <v>632400</v>
      </c>
      <c r="C104" t="s">
        <v>469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367</v>
      </c>
      <c r="B105" t="str">
        <f>"632410"</f>
        <v>632410</v>
      </c>
      <c r="C105" t="s">
        <v>470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367</v>
      </c>
      <c r="B106" t="str">
        <f>"632420"</f>
        <v>632420</v>
      </c>
      <c r="C106" t="s">
        <v>471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367</v>
      </c>
      <c r="B107" t="str">
        <f>"632430"</f>
        <v>632430</v>
      </c>
      <c r="C107" t="s">
        <v>472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367</v>
      </c>
      <c r="B108" t="str">
        <f>"632440"</f>
        <v>632440</v>
      </c>
      <c r="C108" t="s">
        <v>473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367</v>
      </c>
      <c r="B109" t="str">
        <f>"632800"</f>
        <v>632800</v>
      </c>
      <c r="C109" t="s">
        <v>474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367</v>
      </c>
      <c r="B110" t="str">
        <f>"632810"</f>
        <v>632810</v>
      </c>
      <c r="C110" t="s">
        <v>475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367</v>
      </c>
      <c r="B111" t="str">
        <f>"632811"</f>
        <v>632811</v>
      </c>
      <c r="C111" t="s">
        <v>476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367</v>
      </c>
      <c r="B112" t="str">
        <f>"632812"</f>
        <v>632812</v>
      </c>
      <c r="C112" t="s">
        <v>477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367</v>
      </c>
      <c r="B113" t="str">
        <f>"632813"</f>
        <v>632813</v>
      </c>
      <c r="C113" t="s">
        <v>478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367</v>
      </c>
      <c r="B114" t="str">
        <f>"632820"</f>
        <v>632820</v>
      </c>
      <c r="C114" t="s">
        <v>479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367</v>
      </c>
      <c r="B115" t="str">
        <f>"634300"</f>
        <v>634300</v>
      </c>
      <c r="C115" t="s">
        <v>480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367</v>
      </c>
      <c r="B116" t="str">
        <f>"634500"</f>
        <v>634500</v>
      </c>
      <c r="C116" t="s">
        <v>481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367</v>
      </c>
      <c r="B117" t="str">
        <f>"638200"</f>
        <v>638200</v>
      </c>
      <c r="C117" t="s">
        <v>482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367</v>
      </c>
      <c r="B118" t="str">
        <f>"638300"</f>
        <v>638300</v>
      </c>
      <c r="C118" t="s">
        <v>483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367</v>
      </c>
      <c r="B119" t="str">
        <f>"638400"</f>
        <v>638400</v>
      </c>
      <c r="C119" t="s">
        <v>484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367</v>
      </c>
      <c r="B120" t="str">
        <f>"638410"</f>
        <v>638410</v>
      </c>
      <c r="C120" t="s">
        <v>485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367</v>
      </c>
      <c r="B121" t="str">
        <f>"641100"</f>
        <v>641100</v>
      </c>
      <c r="C121" t="s">
        <v>486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367</v>
      </c>
      <c r="B122" t="str">
        <f>"641200"</f>
        <v>641200</v>
      </c>
      <c r="C122" t="s">
        <v>487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367</v>
      </c>
      <c r="B123" t="str">
        <f>"641300"</f>
        <v>641300</v>
      </c>
      <c r="C123" t="s">
        <v>488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367</v>
      </c>
      <c r="B124" t="str">
        <f>"641310"</f>
        <v>641310</v>
      </c>
      <c r="C124" t="s">
        <v>489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367</v>
      </c>
      <c r="B125" t="str">
        <f>"646200"</f>
        <v>646200</v>
      </c>
      <c r="C125" t="s">
        <v>490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367</v>
      </c>
      <c r="B126" t="str">
        <f>"646400"</f>
        <v>646400</v>
      </c>
      <c r="C126" t="s">
        <v>491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367</v>
      </c>
      <c r="B127" t="str">
        <f>"646800"</f>
        <v>646800</v>
      </c>
      <c r="C127" t="s">
        <v>492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367</v>
      </c>
      <c r="B128" t="str">
        <f>"646810"</f>
        <v>646810</v>
      </c>
      <c r="C128" t="s">
        <v>493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367</v>
      </c>
      <c r="B129" t="str">
        <f>"646820"</f>
        <v>646820</v>
      </c>
      <c r="C129" t="s">
        <v>494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367</v>
      </c>
      <c r="B130" t="str">
        <f>"647000"</f>
        <v>647000</v>
      </c>
      <c r="C130" t="s">
        <v>495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367</v>
      </c>
      <c r="B131" t="str">
        <f>"656000"</f>
        <v>656000</v>
      </c>
      <c r="C131" t="s">
        <v>496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367</v>
      </c>
      <c r="B132" t="str">
        <f>"656100"</f>
        <v>656100</v>
      </c>
      <c r="C132" t="s">
        <v>497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367</v>
      </c>
      <c r="B133" t="str">
        <f>"657000"</f>
        <v>657000</v>
      </c>
      <c r="C133" t="s">
        <v>498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367</v>
      </c>
      <c r="B134" t="str">
        <f>"658100"</f>
        <v>658100</v>
      </c>
      <c r="C134" t="s">
        <v>499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367</v>
      </c>
      <c r="B135" t="str">
        <f>"658200"</f>
        <v>658200</v>
      </c>
      <c r="C135" t="s">
        <v>500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367</v>
      </c>
      <c r="B136" t="str">
        <f>"658800"</f>
        <v>658800</v>
      </c>
      <c r="C136" t="s">
        <v>501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367</v>
      </c>
      <c r="B137" t="str">
        <f>"661000"</f>
        <v>661000</v>
      </c>
      <c r="C137" t="s">
        <v>502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367</v>
      </c>
      <c r="B138" t="str">
        <f>"661100"</f>
        <v>661100</v>
      </c>
      <c r="C138" t="s">
        <v>503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367</v>
      </c>
      <c r="B139" t="str">
        <f>"661200"</f>
        <v>661200</v>
      </c>
      <c r="C139" t="s">
        <v>504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367</v>
      </c>
      <c r="B140" t="str">
        <f>"661210"</f>
        <v>661210</v>
      </c>
      <c r="C140" t="s">
        <v>505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367</v>
      </c>
      <c r="B141" t="str">
        <f>"661300"</f>
        <v>661300</v>
      </c>
      <c r="C141" t="s">
        <v>506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367</v>
      </c>
      <c r="B142" t="str">
        <f>"661310"</f>
        <v>661310</v>
      </c>
      <c r="C142" t="s">
        <v>507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367</v>
      </c>
      <c r="B143" t="str">
        <f>"661400"</f>
        <v>661400</v>
      </c>
      <c r="C143" t="s">
        <v>508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367</v>
      </c>
      <c r="B144" t="str">
        <f>"663000"</f>
        <v>663000</v>
      </c>
      <c r="C144" t="s">
        <v>509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367</v>
      </c>
      <c r="B145" t="str">
        <f>"663100"</f>
        <v>663100</v>
      </c>
      <c r="C145" t="s">
        <v>510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367</v>
      </c>
      <c r="B146" t="str">
        <f>"663110"</f>
        <v>663110</v>
      </c>
      <c r="C146" t="s">
        <v>511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367</v>
      </c>
      <c r="B147" t="str">
        <f>"663200"</f>
        <v>663200</v>
      </c>
      <c r="C147" t="s">
        <v>512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t="s">
        <v>367</v>
      </c>
      <c r="B148" t="str">
        <f>"663300"</f>
        <v>663300</v>
      </c>
      <c r="C148" t="s">
        <v>513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367</v>
      </c>
      <c r="B149" t="str">
        <f>"663400"</f>
        <v>663400</v>
      </c>
      <c r="C149" t="s">
        <v>514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367</v>
      </c>
      <c r="B150" t="str">
        <f>"663401"</f>
        <v>663401</v>
      </c>
      <c r="C150" t="s">
        <v>515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367</v>
      </c>
      <c r="B151" t="str">
        <f>"663410"</f>
        <v>663410</v>
      </c>
      <c r="C151" t="s">
        <v>516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367</v>
      </c>
      <c r="B152" t="str">
        <f>"663800"</f>
        <v>663800</v>
      </c>
      <c r="C152" t="s">
        <v>517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367</v>
      </c>
      <c r="B153" t="str">
        <f>"664100"</f>
        <v>664100</v>
      </c>
      <c r="C153" t="s">
        <v>518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367</v>
      </c>
      <c r="B154" t="str">
        <f>"664110"</f>
        <v>664110</v>
      </c>
      <c r="C154" t="s">
        <v>519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367</v>
      </c>
      <c r="B155" t="str">
        <f>"666100"</f>
        <v>666100</v>
      </c>
      <c r="C155" t="s">
        <v>520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367</v>
      </c>
      <c r="B156" t="str">
        <f>"668100"</f>
        <v>668100</v>
      </c>
      <c r="C156" t="s">
        <v>521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367</v>
      </c>
      <c r="B157" t="str">
        <f>"668200"</f>
        <v>668200</v>
      </c>
      <c r="C157" t="s">
        <v>522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367</v>
      </c>
      <c r="B158" t="str">
        <f>"668300"</f>
        <v>668300</v>
      </c>
      <c r="C158" t="s">
        <v>523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367</v>
      </c>
      <c r="B159" t="str">
        <f>"668310"</f>
        <v>668310</v>
      </c>
      <c r="C159" t="s">
        <v>524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367</v>
      </c>
      <c r="B160" t="str">
        <f>"676000"</f>
        <v>676000</v>
      </c>
      <c r="C160" t="s">
        <v>525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367</v>
      </c>
      <c r="B161" t="str">
        <f>"681300"</f>
        <v>681300</v>
      </c>
      <c r="C161" t="s">
        <v>526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428</v>
      </c>
      <c r="B162" t="str">
        <f>"6"</f>
        <v>6</v>
      </c>
      <c r="C162" t="s">
        <v>527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428</v>
      </c>
      <c r="B163" t="str">
        <f>"700000"</f>
        <v>700000</v>
      </c>
      <c r="C163" t="s">
        <v>528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367</v>
      </c>
      <c r="B164" t="str">
        <f>"706000"</f>
        <v>706000</v>
      </c>
      <c r="C164" t="s">
        <v>529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t="s">
        <v>367</v>
      </c>
      <c r="B165" t="str">
        <f>"70601000"</f>
        <v>70601000</v>
      </c>
      <c r="C165" t="s">
        <v>530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367</v>
      </c>
      <c r="B166" t="str">
        <f>"706010"</f>
        <v>706010</v>
      </c>
      <c r="C166" t="s">
        <v>531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367</v>
      </c>
      <c r="B167" t="str">
        <f>"706011"</f>
        <v>706011</v>
      </c>
      <c r="C167" t="s">
        <v>532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367</v>
      </c>
      <c r="B168" t="str">
        <f>"706020"</f>
        <v>706020</v>
      </c>
      <c r="C168" t="s">
        <v>533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367</v>
      </c>
      <c r="B169" t="str">
        <f>"706030"</f>
        <v>706030</v>
      </c>
      <c r="C169" t="s">
        <v>534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367</v>
      </c>
      <c r="B170" t="str">
        <f>"706040"</f>
        <v>706040</v>
      </c>
      <c r="C170" t="s">
        <v>535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367</v>
      </c>
      <c r="B171" t="str">
        <f>"706041"</f>
        <v>706041</v>
      </c>
      <c r="C171" t="s">
        <v>536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367</v>
      </c>
      <c r="B172" t="str">
        <f>"706050"</f>
        <v>706050</v>
      </c>
      <c r="C172" t="s">
        <v>537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367</v>
      </c>
      <c r="B173" t="str">
        <f>"706060"</f>
        <v>706060</v>
      </c>
      <c r="C173" t="s">
        <v>538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367</v>
      </c>
      <c r="B174" t="str">
        <f>"706070"</f>
        <v>706070</v>
      </c>
      <c r="C174" t="s">
        <v>539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367</v>
      </c>
      <c r="B175" t="str">
        <f>"706080"</f>
        <v>706080</v>
      </c>
      <c r="C175" t="s">
        <v>540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367</v>
      </c>
      <c r="B176" t="str">
        <f>"706081"</f>
        <v>706081</v>
      </c>
      <c r="C176" t="s">
        <v>541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367</v>
      </c>
      <c r="B177" t="str">
        <f>"706082"</f>
        <v>706082</v>
      </c>
      <c r="C177" t="s">
        <v>542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367</v>
      </c>
      <c r="B178" t="str">
        <f>"706090"</f>
        <v>706090</v>
      </c>
      <c r="C178" t="s">
        <v>543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367</v>
      </c>
      <c r="B179" t="str">
        <f>"707000"</f>
        <v>707000</v>
      </c>
      <c r="C179" t="s">
        <v>544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428</v>
      </c>
      <c r="B180" t="str">
        <f>"70"</f>
        <v>70</v>
      </c>
      <c r="C180" t="s">
        <v>545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367</v>
      </c>
      <c r="B181" t="str">
        <f>"756000"</f>
        <v>756000</v>
      </c>
      <c r="C181" t="s">
        <v>546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367</v>
      </c>
      <c r="B182" t="str">
        <f>"778000"</f>
        <v>778000</v>
      </c>
      <c r="C182" t="s">
        <v>547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367</v>
      </c>
      <c r="B183" t="str">
        <f>"781000"</f>
        <v>781000</v>
      </c>
      <c r="C183" t="s">
        <v>548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367</v>
      </c>
      <c r="B184" t="str">
        <f>"781100"</f>
        <v>781100</v>
      </c>
      <c r="C184" t="s">
        <v>549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367</v>
      </c>
      <c r="B185" t="str">
        <f>"781200"</f>
        <v>781200</v>
      </c>
      <c r="C185" t="s">
        <v>550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367</v>
      </c>
      <c r="B186" t="str">
        <f>"781210"</f>
        <v>781210</v>
      </c>
      <c r="C186" t="s">
        <v>551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367</v>
      </c>
      <c r="B187" t="str">
        <f>"781300"</f>
        <v>781300</v>
      </c>
      <c r="C187" t="s">
        <v>552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367</v>
      </c>
      <c r="B188" t="str">
        <f>"781400"</f>
        <v>781400</v>
      </c>
      <c r="C188" t="s">
        <v>553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367</v>
      </c>
      <c r="B189" t="str">
        <f>"781500"</f>
        <v>781500</v>
      </c>
      <c r="C189" t="s">
        <v>554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367</v>
      </c>
      <c r="B190" t="str">
        <f>"781600"</f>
        <v>781600</v>
      </c>
      <c r="C190" t="s">
        <v>555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367</v>
      </c>
      <c r="B191" t="str">
        <f>"781700"</f>
        <v>781700</v>
      </c>
      <c r="C191" t="s">
        <v>556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428</v>
      </c>
      <c r="B192" t="str">
        <f>"7"</f>
        <v>7</v>
      </c>
      <c r="C192" t="s">
        <v>557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367</v>
      </c>
      <c r="B193" t="str">
        <f>"891000"</f>
        <v>891000</v>
      </c>
      <c r="C193" t="s">
        <v>399</v>
      </c>
      <c r="D193">
        <v>0</v>
      </c>
      <c r="E193">
        <v>0</v>
      </c>
      <c r="F193">
        <v>0</v>
      </c>
      <c r="G1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539E-6C8E-4392-9E7C-C1D351E2EE2F}">
  <dimension ref="A1:F51"/>
  <sheetViews>
    <sheetView topLeftCell="A34" workbookViewId="0">
      <selection activeCell="C45" sqref="C45"/>
    </sheetView>
  </sheetViews>
  <sheetFormatPr defaultRowHeight="15.6" x14ac:dyDescent="0.3"/>
  <cols>
    <col min="3" max="3" width="34.6328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558</v>
      </c>
      <c r="D2">
        <v>0</v>
      </c>
      <c r="E2">
        <v>0</v>
      </c>
      <c r="F2">
        <v>0</v>
      </c>
    </row>
    <row r="3" spans="1:6" x14ac:dyDescent="0.3">
      <c r="A3" t="s">
        <v>6</v>
      </c>
      <c r="B3" t="s">
        <v>9</v>
      </c>
      <c r="C3" t="s">
        <v>559</v>
      </c>
      <c r="D3">
        <v>0</v>
      </c>
      <c r="E3">
        <v>0</v>
      </c>
      <c r="F3">
        <v>0</v>
      </c>
    </row>
    <row r="4" spans="1:6" x14ac:dyDescent="0.3">
      <c r="A4" t="s">
        <v>6</v>
      </c>
      <c r="B4" t="s">
        <v>11</v>
      </c>
      <c r="C4" t="s">
        <v>560</v>
      </c>
      <c r="D4">
        <v>0</v>
      </c>
      <c r="E4">
        <v>0</v>
      </c>
      <c r="F4">
        <v>0</v>
      </c>
    </row>
    <row r="5" spans="1:6" x14ac:dyDescent="0.3">
      <c r="A5" t="s">
        <v>6</v>
      </c>
      <c r="B5" t="s">
        <v>13</v>
      </c>
      <c r="C5" t="s">
        <v>561</v>
      </c>
      <c r="D5">
        <v>0</v>
      </c>
      <c r="E5">
        <v>0</v>
      </c>
      <c r="F5">
        <v>0</v>
      </c>
    </row>
    <row r="6" spans="1:6" x14ac:dyDescent="0.3">
      <c r="A6" t="s">
        <v>6</v>
      </c>
      <c r="B6" t="s">
        <v>15</v>
      </c>
      <c r="C6" t="s">
        <v>562</v>
      </c>
      <c r="D6">
        <v>0</v>
      </c>
      <c r="E6">
        <v>0</v>
      </c>
      <c r="F6">
        <v>0</v>
      </c>
    </row>
    <row r="7" spans="1:6" x14ac:dyDescent="0.3">
      <c r="A7" t="s">
        <v>6</v>
      </c>
      <c r="B7" t="s">
        <v>17</v>
      </c>
      <c r="C7" t="s">
        <v>563</v>
      </c>
      <c r="D7">
        <v>0</v>
      </c>
      <c r="E7">
        <v>0</v>
      </c>
      <c r="F7">
        <v>0</v>
      </c>
    </row>
    <row r="8" spans="1:6" x14ac:dyDescent="0.3">
      <c r="A8" t="s">
        <v>6</v>
      </c>
      <c r="B8" t="s">
        <v>19</v>
      </c>
      <c r="C8" t="s">
        <v>160</v>
      </c>
      <c r="D8">
        <v>0</v>
      </c>
      <c r="E8">
        <v>0</v>
      </c>
      <c r="F8">
        <v>0</v>
      </c>
    </row>
    <row r="9" spans="1:6" x14ac:dyDescent="0.3">
      <c r="A9" t="s">
        <v>6</v>
      </c>
      <c r="B9" t="s">
        <v>21</v>
      </c>
      <c r="C9" t="s">
        <v>564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">
        <v>23</v>
      </c>
      <c r="C10" t="s">
        <v>18</v>
      </c>
      <c r="D10">
        <v>0</v>
      </c>
      <c r="E10">
        <v>0</v>
      </c>
      <c r="F10">
        <v>0</v>
      </c>
    </row>
    <row r="11" spans="1:6" x14ac:dyDescent="0.3">
      <c r="A11" t="s">
        <v>6</v>
      </c>
      <c r="B11" t="s">
        <v>25</v>
      </c>
      <c r="C11" t="s">
        <v>565</v>
      </c>
      <c r="D11">
        <v>0</v>
      </c>
      <c r="E11">
        <v>0</v>
      </c>
      <c r="F11">
        <v>0</v>
      </c>
    </row>
    <row r="12" spans="1:6" x14ac:dyDescent="0.3">
      <c r="A12" t="s">
        <v>6</v>
      </c>
      <c r="B12" t="s">
        <v>27</v>
      </c>
      <c r="C12" t="s">
        <v>566</v>
      </c>
      <c r="D12">
        <v>0</v>
      </c>
      <c r="E12">
        <v>0</v>
      </c>
      <c r="F12">
        <v>0</v>
      </c>
    </row>
    <row r="13" spans="1:6" x14ac:dyDescent="0.3">
      <c r="A13" t="s">
        <v>6</v>
      </c>
      <c r="B13" t="s">
        <v>29</v>
      </c>
      <c r="C13" t="s">
        <v>567</v>
      </c>
      <c r="D13">
        <v>0</v>
      </c>
      <c r="E13">
        <v>0</v>
      </c>
      <c r="F13">
        <v>0</v>
      </c>
    </row>
    <row r="14" spans="1:6" x14ac:dyDescent="0.3">
      <c r="A14" t="s">
        <v>6</v>
      </c>
      <c r="B14" t="s">
        <v>31</v>
      </c>
      <c r="C14" t="s">
        <v>568</v>
      </c>
      <c r="D14">
        <v>0</v>
      </c>
      <c r="E14">
        <v>0</v>
      </c>
      <c r="F14">
        <v>0</v>
      </c>
    </row>
    <row r="15" spans="1:6" x14ac:dyDescent="0.3">
      <c r="A15" t="s">
        <v>6</v>
      </c>
      <c r="B15" t="s">
        <v>33</v>
      </c>
      <c r="C15" t="s">
        <v>569</v>
      </c>
      <c r="D15">
        <v>0</v>
      </c>
      <c r="E15">
        <v>0</v>
      </c>
      <c r="F15">
        <v>0</v>
      </c>
    </row>
    <row r="16" spans="1:6" x14ac:dyDescent="0.3">
      <c r="A16" t="s">
        <v>6</v>
      </c>
      <c r="B16" t="s">
        <v>35</v>
      </c>
      <c r="C16" t="s">
        <v>570</v>
      </c>
      <c r="D16">
        <v>0</v>
      </c>
      <c r="E16">
        <v>0</v>
      </c>
      <c r="F16">
        <v>0</v>
      </c>
    </row>
    <row r="17" spans="1:6" x14ac:dyDescent="0.3">
      <c r="A17" t="s">
        <v>6</v>
      </c>
      <c r="B17" t="s">
        <v>37</v>
      </c>
      <c r="C17" t="s">
        <v>571</v>
      </c>
      <c r="D17">
        <v>0</v>
      </c>
      <c r="E17">
        <v>0</v>
      </c>
      <c r="F17">
        <v>0</v>
      </c>
    </row>
    <row r="18" spans="1:6" x14ac:dyDescent="0.3">
      <c r="A18" t="s">
        <v>6</v>
      </c>
      <c r="B18" t="s">
        <v>39</v>
      </c>
      <c r="C18" t="s">
        <v>572</v>
      </c>
      <c r="D18">
        <v>0</v>
      </c>
      <c r="E18">
        <v>0</v>
      </c>
      <c r="F18">
        <v>0</v>
      </c>
    </row>
    <row r="19" spans="1:6" x14ac:dyDescent="0.3">
      <c r="A19" t="s">
        <v>6</v>
      </c>
      <c r="B19" t="s">
        <v>41</v>
      </c>
      <c r="C19" t="s">
        <v>573</v>
      </c>
      <c r="D19">
        <v>0</v>
      </c>
      <c r="E19">
        <v>0</v>
      </c>
      <c r="F19">
        <v>0</v>
      </c>
    </row>
    <row r="20" spans="1:6" x14ac:dyDescent="0.3">
      <c r="A20" t="s">
        <v>6</v>
      </c>
      <c r="B20" t="s">
        <v>43</v>
      </c>
      <c r="C20" t="s">
        <v>244</v>
      </c>
      <c r="D20">
        <v>0</v>
      </c>
      <c r="E20">
        <v>0</v>
      </c>
      <c r="F20">
        <v>0</v>
      </c>
    </row>
    <row r="21" spans="1:6" x14ac:dyDescent="0.3">
      <c r="A21" t="s">
        <v>6</v>
      </c>
      <c r="B21" t="s">
        <v>45</v>
      </c>
      <c r="C21" t="s">
        <v>574</v>
      </c>
      <c r="D21">
        <v>0</v>
      </c>
      <c r="E21">
        <v>0</v>
      </c>
      <c r="F21">
        <v>0</v>
      </c>
    </row>
    <row r="22" spans="1:6" x14ac:dyDescent="0.3">
      <c r="A22" t="s">
        <v>6</v>
      </c>
      <c r="B22" t="s">
        <v>47</v>
      </c>
      <c r="C22" t="s">
        <v>575</v>
      </c>
      <c r="D22">
        <v>0</v>
      </c>
      <c r="E22">
        <v>0</v>
      </c>
      <c r="F22">
        <v>0</v>
      </c>
    </row>
    <row r="23" spans="1:6" x14ac:dyDescent="0.3">
      <c r="A23" t="s">
        <v>6</v>
      </c>
      <c r="B23" t="s">
        <v>49</v>
      </c>
      <c r="C23" t="s">
        <v>576</v>
      </c>
      <c r="D23">
        <v>0</v>
      </c>
      <c r="E23">
        <v>0</v>
      </c>
      <c r="F23">
        <v>0</v>
      </c>
    </row>
    <row r="24" spans="1:6" x14ac:dyDescent="0.3">
      <c r="A24" t="s">
        <v>6</v>
      </c>
      <c r="B24" t="s">
        <v>51</v>
      </c>
      <c r="C24" t="s">
        <v>577</v>
      </c>
      <c r="D24">
        <v>0</v>
      </c>
      <c r="E24">
        <v>0</v>
      </c>
      <c r="F24">
        <v>0</v>
      </c>
    </row>
    <row r="25" spans="1:6" x14ac:dyDescent="0.3">
      <c r="A25" t="s">
        <v>6</v>
      </c>
      <c r="B25" t="s">
        <v>55</v>
      </c>
      <c r="C25" t="s">
        <v>578</v>
      </c>
      <c r="D25">
        <v>0</v>
      </c>
      <c r="E25">
        <v>0</v>
      </c>
      <c r="F25">
        <v>0</v>
      </c>
    </row>
    <row r="26" spans="1:6" x14ac:dyDescent="0.3">
      <c r="A26" t="s">
        <v>6</v>
      </c>
      <c r="B26" t="s">
        <v>57</v>
      </c>
      <c r="C26" t="s">
        <v>579</v>
      </c>
      <c r="D26">
        <v>0</v>
      </c>
      <c r="E26">
        <v>0</v>
      </c>
      <c r="F26">
        <v>0</v>
      </c>
    </row>
    <row r="27" spans="1:6" x14ac:dyDescent="0.3">
      <c r="A27" t="s">
        <v>6</v>
      </c>
      <c r="B27" t="s">
        <v>59</v>
      </c>
      <c r="C27" t="s">
        <v>580</v>
      </c>
      <c r="D27">
        <v>0</v>
      </c>
      <c r="E27">
        <v>0</v>
      </c>
      <c r="F27">
        <v>0</v>
      </c>
    </row>
    <row r="28" spans="1:6" x14ac:dyDescent="0.3">
      <c r="A28" t="s">
        <v>6</v>
      </c>
      <c r="B28" t="s">
        <v>61</v>
      </c>
      <c r="C28" t="s">
        <v>581</v>
      </c>
      <c r="D28">
        <v>0</v>
      </c>
      <c r="E28">
        <v>0</v>
      </c>
      <c r="F28">
        <v>0</v>
      </c>
    </row>
    <row r="29" spans="1:6" x14ac:dyDescent="0.3">
      <c r="A29" t="s">
        <v>6</v>
      </c>
      <c r="B29" t="s">
        <v>63</v>
      </c>
      <c r="C29" t="s">
        <v>582</v>
      </c>
      <c r="D29">
        <v>0</v>
      </c>
      <c r="E29">
        <v>0</v>
      </c>
      <c r="F29">
        <v>0</v>
      </c>
    </row>
    <row r="30" spans="1:6" x14ac:dyDescent="0.3">
      <c r="A30" t="s">
        <v>6</v>
      </c>
      <c r="B30" t="s">
        <v>65</v>
      </c>
      <c r="C30" t="s">
        <v>583</v>
      </c>
      <c r="D30">
        <v>0</v>
      </c>
      <c r="E30">
        <v>0</v>
      </c>
      <c r="F30">
        <v>0</v>
      </c>
    </row>
    <row r="31" spans="1:6" x14ac:dyDescent="0.3">
      <c r="A31" t="s">
        <v>6</v>
      </c>
      <c r="B31" t="s">
        <v>67</v>
      </c>
      <c r="C31" t="s">
        <v>584</v>
      </c>
      <c r="D31">
        <v>0</v>
      </c>
      <c r="E31">
        <v>0</v>
      </c>
      <c r="F31">
        <v>0</v>
      </c>
    </row>
    <row r="32" spans="1:6" x14ac:dyDescent="0.3">
      <c r="A32" t="s">
        <v>6</v>
      </c>
      <c r="B32" t="s">
        <v>69</v>
      </c>
      <c r="C32" t="s">
        <v>585</v>
      </c>
      <c r="D32">
        <v>0</v>
      </c>
      <c r="E32">
        <v>0</v>
      </c>
      <c r="F32">
        <v>0</v>
      </c>
    </row>
    <row r="33" spans="1:6" x14ac:dyDescent="0.3">
      <c r="A33" t="s">
        <v>6</v>
      </c>
      <c r="B33" t="s">
        <v>71</v>
      </c>
      <c r="C33" t="s">
        <v>586</v>
      </c>
      <c r="D33">
        <v>0</v>
      </c>
      <c r="E33">
        <v>0</v>
      </c>
      <c r="F33">
        <v>0</v>
      </c>
    </row>
    <row r="34" spans="1:6" x14ac:dyDescent="0.3">
      <c r="A34" t="s">
        <v>6</v>
      </c>
      <c r="B34" t="s">
        <v>73</v>
      </c>
      <c r="C34" t="s">
        <v>587</v>
      </c>
      <c r="D34">
        <v>0</v>
      </c>
      <c r="E34">
        <v>0</v>
      </c>
      <c r="F34">
        <v>0</v>
      </c>
    </row>
    <row r="35" spans="1:6" x14ac:dyDescent="0.3">
      <c r="A35" t="s">
        <v>6</v>
      </c>
      <c r="B35" t="s">
        <v>75</v>
      </c>
      <c r="C35" t="s">
        <v>588</v>
      </c>
      <c r="D35">
        <v>0</v>
      </c>
      <c r="E35">
        <v>0</v>
      </c>
      <c r="F35">
        <v>0</v>
      </c>
    </row>
    <row r="36" spans="1:6" x14ac:dyDescent="0.3">
      <c r="A36" t="s">
        <v>6</v>
      </c>
      <c r="B36" t="s">
        <v>77</v>
      </c>
      <c r="C36" t="s">
        <v>589</v>
      </c>
      <c r="D36">
        <v>0</v>
      </c>
      <c r="E36">
        <v>0</v>
      </c>
      <c r="F36">
        <v>0</v>
      </c>
    </row>
    <row r="37" spans="1:6" x14ac:dyDescent="0.3">
      <c r="A37" t="s">
        <v>6</v>
      </c>
      <c r="B37" t="s">
        <v>79</v>
      </c>
      <c r="C37" t="s">
        <v>590</v>
      </c>
      <c r="D37">
        <v>0</v>
      </c>
      <c r="E37">
        <v>0</v>
      </c>
      <c r="F37">
        <v>0</v>
      </c>
    </row>
    <row r="38" spans="1:6" x14ac:dyDescent="0.3">
      <c r="A38" t="s">
        <v>6</v>
      </c>
      <c r="B38" t="s">
        <v>81</v>
      </c>
      <c r="C38" t="s">
        <v>297</v>
      </c>
      <c r="D38">
        <v>0</v>
      </c>
      <c r="E38">
        <v>0</v>
      </c>
      <c r="F38">
        <v>0</v>
      </c>
    </row>
    <row r="39" spans="1:6" x14ac:dyDescent="0.3">
      <c r="A39" t="s">
        <v>6</v>
      </c>
      <c r="B39" t="s">
        <v>83</v>
      </c>
      <c r="C39" t="s">
        <v>591</v>
      </c>
      <c r="D39">
        <v>0</v>
      </c>
      <c r="E39">
        <v>0</v>
      </c>
      <c r="F39">
        <v>0</v>
      </c>
    </row>
    <row r="40" spans="1:6" x14ac:dyDescent="0.3">
      <c r="A40" t="s">
        <v>6</v>
      </c>
      <c r="B40" t="s">
        <v>85</v>
      </c>
      <c r="C40" t="s">
        <v>592</v>
      </c>
      <c r="D40">
        <v>0</v>
      </c>
      <c r="E40">
        <v>0</v>
      </c>
      <c r="F40">
        <v>0</v>
      </c>
    </row>
    <row r="41" spans="1:6" x14ac:dyDescent="0.3">
      <c r="A41" t="s">
        <v>6</v>
      </c>
      <c r="B41" t="s">
        <v>593</v>
      </c>
      <c r="C41" t="s">
        <v>289</v>
      </c>
      <c r="D41">
        <v>0</v>
      </c>
      <c r="E41">
        <v>0</v>
      </c>
      <c r="F41">
        <v>0</v>
      </c>
    </row>
    <row r="43" spans="1:6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</row>
    <row r="44" spans="1:6" x14ac:dyDescent="0.3">
      <c r="A44" t="s">
        <v>318</v>
      </c>
      <c r="B44" t="s">
        <v>321</v>
      </c>
      <c r="C44" t="s">
        <v>594</v>
      </c>
      <c r="D44">
        <v>0</v>
      </c>
      <c r="E44">
        <v>0</v>
      </c>
      <c r="F44">
        <v>0</v>
      </c>
    </row>
    <row r="45" spans="1:6" x14ac:dyDescent="0.3">
      <c r="A45" t="s">
        <v>318</v>
      </c>
      <c r="B45" t="s">
        <v>323</v>
      </c>
      <c r="C45" t="s">
        <v>324</v>
      </c>
      <c r="D45">
        <v>0</v>
      </c>
      <c r="E45">
        <v>0</v>
      </c>
      <c r="F45">
        <v>0</v>
      </c>
    </row>
    <row r="46" spans="1:6" x14ac:dyDescent="0.3">
      <c r="A46" t="s">
        <v>318</v>
      </c>
      <c r="B46" t="s">
        <v>325</v>
      </c>
      <c r="C46" t="s">
        <v>326</v>
      </c>
      <c r="D46">
        <v>0</v>
      </c>
      <c r="E46">
        <v>0</v>
      </c>
      <c r="F46">
        <v>0</v>
      </c>
    </row>
    <row r="47" spans="1:6" x14ac:dyDescent="0.3">
      <c r="A47" t="s">
        <v>318</v>
      </c>
      <c r="B47" t="s">
        <v>327</v>
      </c>
      <c r="C47" t="s">
        <v>328</v>
      </c>
      <c r="D47">
        <v>0</v>
      </c>
      <c r="E47">
        <v>0</v>
      </c>
      <c r="F47">
        <v>0</v>
      </c>
    </row>
    <row r="48" spans="1:6" x14ac:dyDescent="0.3">
      <c r="A48" t="s">
        <v>318</v>
      </c>
      <c r="B48" t="s">
        <v>329</v>
      </c>
      <c r="C48" t="s">
        <v>330</v>
      </c>
      <c r="D48">
        <v>0</v>
      </c>
      <c r="E48">
        <v>0</v>
      </c>
      <c r="F48">
        <v>0</v>
      </c>
    </row>
    <row r="49" spans="1:6" x14ac:dyDescent="0.3">
      <c r="A49" t="s">
        <v>318</v>
      </c>
      <c r="B49" t="s">
        <v>331</v>
      </c>
      <c r="C49" t="s">
        <v>332</v>
      </c>
      <c r="D49">
        <v>0</v>
      </c>
      <c r="E49">
        <v>0</v>
      </c>
      <c r="F49">
        <v>0</v>
      </c>
    </row>
    <row r="50" spans="1:6" x14ac:dyDescent="0.3">
      <c r="A50" t="s">
        <v>318</v>
      </c>
      <c r="B50" t="s">
        <v>333</v>
      </c>
      <c r="C50" t="s">
        <v>334</v>
      </c>
      <c r="D50">
        <v>0</v>
      </c>
      <c r="E50">
        <v>0</v>
      </c>
      <c r="F50">
        <v>0</v>
      </c>
    </row>
    <row r="51" spans="1:6" x14ac:dyDescent="0.3">
      <c r="A51" t="s">
        <v>318</v>
      </c>
      <c r="B51" t="s">
        <v>335</v>
      </c>
      <c r="C51" t="s">
        <v>336</v>
      </c>
      <c r="D51">
        <v>0</v>
      </c>
      <c r="E51">
        <v>0</v>
      </c>
      <c r="F5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CE55-B659-485F-A964-1218DDF36C65}">
  <dimension ref="A1:C3"/>
  <sheetViews>
    <sheetView workbookViewId="0">
      <selection activeCell="C12" sqref="C12"/>
    </sheetView>
  </sheetViews>
  <sheetFormatPr defaultRowHeight="15.6" x14ac:dyDescent="0.3"/>
  <cols>
    <col min="3" max="3" width="21.7265625" customWidth="1"/>
  </cols>
  <sheetData>
    <row r="1" spans="1:3" x14ac:dyDescent="0.3">
      <c r="A1" t="s">
        <v>0</v>
      </c>
      <c r="B1" t="s">
        <v>337</v>
      </c>
      <c r="C1" t="s">
        <v>338</v>
      </c>
    </row>
    <row r="2" spans="1:3" x14ac:dyDescent="0.3">
      <c r="A2" t="s">
        <v>342</v>
      </c>
      <c r="B2" t="s">
        <v>359</v>
      </c>
      <c r="C2" t="s">
        <v>360</v>
      </c>
    </row>
    <row r="3" spans="1:3" x14ac:dyDescent="0.3">
      <c r="A3" t="s">
        <v>345</v>
      </c>
      <c r="B3" t="s">
        <v>595</v>
      </c>
      <c r="C3" t="s">
        <v>596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E983-8061-496F-8308-CF03F6C3C56A}">
  <dimension ref="A1:G304"/>
  <sheetViews>
    <sheetView topLeftCell="A7" workbookViewId="0">
      <selection sqref="A1:G304"/>
    </sheetView>
  </sheetViews>
  <sheetFormatPr defaultRowHeight="15.6" x14ac:dyDescent="0.3"/>
  <cols>
    <col min="3" max="3" width="17.45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365</v>
      </c>
      <c r="E1" t="s">
        <v>366</v>
      </c>
      <c r="F1" t="s">
        <v>3</v>
      </c>
      <c r="G1" t="s">
        <v>4</v>
      </c>
    </row>
    <row r="2" spans="1:7" x14ac:dyDescent="0.3">
      <c r="A2" t="s">
        <v>367</v>
      </c>
      <c r="B2" t="str">
        <f>"1012000"</f>
        <v>1012000</v>
      </c>
      <c r="C2" t="s">
        <v>597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367</v>
      </c>
      <c r="B3" t="str">
        <f>"1013000"</f>
        <v>1013000</v>
      </c>
      <c r="C3" t="s">
        <v>598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367</v>
      </c>
      <c r="B4" t="str">
        <f>"11100000"</f>
        <v>11100000</v>
      </c>
      <c r="C4" t="s">
        <v>599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367</v>
      </c>
      <c r="B5" t="str">
        <f>"1211000"</f>
        <v>1211000</v>
      </c>
      <c r="C5" t="s">
        <v>600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367</v>
      </c>
      <c r="B6" t="str">
        <f>"1291000"</f>
        <v>1291000</v>
      </c>
      <c r="C6" t="s">
        <v>601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367</v>
      </c>
      <c r="B7" t="str">
        <f>"1291100"</f>
        <v>1291100</v>
      </c>
      <c r="C7" t="s">
        <v>602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367</v>
      </c>
      <c r="B8" t="str">
        <f>"1301000"</f>
        <v>1301000</v>
      </c>
      <c r="C8" t="s">
        <v>603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367</v>
      </c>
      <c r="B9" t="str">
        <f>"1311000"</f>
        <v>1311000</v>
      </c>
      <c r="C9" t="s">
        <v>604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367</v>
      </c>
      <c r="B10" t="str">
        <f>"1731000"</f>
        <v>1731000</v>
      </c>
      <c r="C10" t="s">
        <v>605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367</v>
      </c>
      <c r="B11" t="str">
        <f>"1951000"</f>
        <v>1951000</v>
      </c>
      <c r="C11" t="s">
        <v>606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367</v>
      </c>
      <c r="B12" t="str">
        <f>"1961110"</f>
        <v>1961110</v>
      </c>
      <c r="C12" t="s">
        <v>607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367</v>
      </c>
      <c r="B13" t="str">
        <f>"19620100"</f>
        <v>19620100</v>
      </c>
      <c r="C13" t="s">
        <v>608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367</v>
      </c>
      <c r="B14" t="str">
        <f>"2351100"</f>
        <v>2351100</v>
      </c>
      <c r="C14" t="s">
        <v>609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367</v>
      </c>
      <c r="B15" t="str">
        <f>"2441100"</f>
        <v>2441100</v>
      </c>
      <c r="C15" t="s">
        <v>610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367</v>
      </c>
      <c r="B16" t="str">
        <f>"2442100"</f>
        <v>2442100</v>
      </c>
      <c r="C16" t="s">
        <v>611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367</v>
      </c>
      <c r="B17" t="str">
        <f>"2443100"</f>
        <v>2443100</v>
      </c>
      <c r="C17" t="s">
        <v>612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367</v>
      </c>
      <c r="B18" t="str">
        <f>"2444100"</f>
        <v>2444100</v>
      </c>
      <c r="C18" t="s">
        <v>613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367</v>
      </c>
      <c r="B19" t="str">
        <f>"2451000"</f>
        <v>2451000</v>
      </c>
      <c r="C19" t="s">
        <v>379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367</v>
      </c>
      <c r="B20" t="str">
        <f>"2495100"</f>
        <v>2495100</v>
      </c>
      <c r="C20" t="s">
        <v>614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367</v>
      </c>
      <c r="B21" t="str">
        <f>"2510000"</f>
        <v>2510000</v>
      </c>
      <c r="C21" t="s">
        <v>615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367</v>
      </c>
      <c r="B22" t="str">
        <f>"2728100"</f>
        <v>2728100</v>
      </c>
      <c r="C22" t="s">
        <v>616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367</v>
      </c>
      <c r="B23" t="str">
        <f>"2744000"</f>
        <v>2744000</v>
      </c>
      <c r="C23" t="s">
        <v>617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367</v>
      </c>
      <c r="B24" t="str">
        <f>"2745110"</f>
        <v>2745110</v>
      </c>
      <c r="C24" t="s">
        <v>618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367</v>
      </c>
      <c r="B25" t="str">
        <f>"2751000"</f>
        <v>2751000</v>
      </c>
      <c r="C25" t="s">
        <v>619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367</v>
      </c>
      <c r="B26" t="str">
        <f>"2751100"</f>
        <v>2751100</v>
      </c>
      <c r="C26" t="s">
        <v>620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367</v>
      </c>
      <c r="B27" t="str">
        <f>"2752100"</f>
        <v>2752100</v>
      </c>
      <c r="C27" t="s">
        <v>621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367</v>
      </c>
      <c r="B28" t="str">
        <f>"2753100"</f>
        <v>2753100</v>
      </c>
      <c r="C28" t="s">
        <v>622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367</v>
      </c>
      <c r="B29" t="str">
        <f>"2754100"</f>
        <v>2754100</v>
      </c>
      <c r="C29" t="s">
        <v>623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367</v>
      </c>
      <c r="B30" t="str">
        <f>"2755100"</f>
        <v>2755100</v>
      </c>
      <c r="C30" t="s">
        <v>624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367</v>
      </c>
      <c r="B31" t="str">
        <f>"2758100"</f>
        <v>2758100</v>
      </c>
      <c r="C31" t="s">
        <v>625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367</v>
      </c>
      <c r="B32" t="str">
        <f>"2768100"</f>
        <v>2768100</v>
      </c>
      <c r="C32" t="s">
        <v>626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367</v>
      </c>
      <c r="B33" t="str">
        <f>"2835100"</f>
        <v>2835100</v>
      </c>
      <c r="C33" t="s">
        <v>627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367</v>
      </c>
      <c r="B34" t="str">
        <f>"2844100"</f>
        <v>2844100</v>
      </c>
      <c r="C34" t="s">
        <v>628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367</v>
      </c>
      <c r="B35" t="str">
        <f>"2844200"</f>
        <v>2844200</v>
      </c>
      <c r="C35" t="s">
        <v>629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367</v>
      </c>
      <c r="B36" t="str">
        <f>"2844300"</f>
        <v>2844300</v>
      </c>
      <c r="C36" t="s">
        <v>630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367</v>
      </c>
      <c r="B37" t="str">
        <f>"2844400"</f>
        <v>2844400</v>
      </c>
      <c r="C37" t="s">
        <v>631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367</v>
      </c>
      <c r="B38" t="str">
        <f>"2845000"</f>
        <v>2845000</v>
      </c>
      <c r="C38" t="s">
        <v>632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367</v>
      </c>
      <c r="B39" t="str">
        <f>"4011000"</f>
        <v>4011000</v>
      </c>
      <c r="C39" t="s">
        <v>633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367</v>
      </c>
      <c r="B40" t="str">
        <f>"4081000"</f>
        <v>4081000</v>
      </c>
      <c r="C40" t="s">
        <v>634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367</v>
      </c>
      <c r="B41" t="str">
        <f>"4091000"</f>
        <v>4091000</v>
      </c>
      <c r="C41" t="s">
        <v>635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367</v>
      </c>
      <c r="B42" t="str">
        <f>"4111000"</f>
        <v>4111000</v>
      </c>
      <c r="C42" t="s">
        <v>413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367</v>
      </c>
      <c r="B43" t="str">
        <f>"4161000"</f>
        <v>4161000</v>
      </c>
      <c r="C43" t="s">
        <v>636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367</v>
      </c>
      <c r="B44" t="str">
        <f>"4162000"</f>
        <v>4162000</v>
      </c>
      <c r="C44" t="s">
        <v>637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367</v>
      </c>
      <c r="B45" t="str">
        <f>"4181000"</f>
        <v>4181000</v>
      </c>
      <c r="C45" t="s">
        <v>638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367</v>
      </c>
      <c r="B46" t="str">
        <f>"4213000"</f>
        <v>4213000</v>
      </c>
      <c r="C46" t="s">
        <v>639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367</v>
      </c>
      <c r="B47" t="str">
        <f>"4218100"</f>
        <v>4218100</v>
      </c>
      <c r="C47" t="s">
        <v>640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367</v>
      </c>
      <c r="B48" t="str">
        <f>"4218200"</f>
        <v>4218200</v>
      </c>
      <c r="C48" t="s">
        <v>641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367</v>
      </c>
      <c r="B49" t="str">
        <f>"4221000"</f>
        <v>4221000</v>
      </c>
      <c r="C49" t="s">
        <v>642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367</v>
      </c>
      <c r="B50" t="str">
        <f>"4222000"</f>
        <v>4222000</v>
      </c>
      <c r="C50" t="s">
        <v>643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367</v>
      </c>
      <c r="B51" t="str">
        <f>"4245100"</f>
        <v>4245100</v>
      </c>
      <c r="C51" t="s">
        <v>644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367</v>
      </c>
      <c r="B52" t="str">
        <f>"4245200"</f>
        <v>4245200</v>
      </c>
      <c r="C52" t="s">
        <v>645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367</v>
      </c>
      <c r="B53" t="str">
        <f>"4281100"</f>
        <v>4281100</v>
      </c>
      <c r="C53" t="s">
        <v>646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367</v>
      </c>
      <c r="B54" t="str">
        <f>"4281200"</f>
        <v>4281200</v>
      </c>
      <c r="C54" t="s">
        <v>647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367</v>
      </c>
      <c r="B55" t="str">
        <f>"43110000"</f>
        <v>43110000</v>
      </c>
      <c r="C55" t="s">
        <v>648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367</v>
      </c>
      <c r="B56" t="str">
        <f>"4311000"</f>
        <v>4311000</v>
      </c>
      <c r="C56" t="s">
        <v>649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367</v>
      </c>
      <c r="B57" t="str">
        <f>"43120000"</f>
        <v>43120000</v>
      </c>
      <c r="C57" t="s">
        <v>648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367</v>
      </c>
      <c r="B58" t="str">
        <f>"4312000"</f>
        <v>4312000</v>
      </c>
      <c r="C58" t="s">
        <v>650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367</v>
      </c>
      <c r="B59" t="str">
        <f>"43130000"</f>
        <v>43130000</v>
      </c>
      <c r="C59" t="s">
        <v>648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367</v>
      </c>
      <c r="B60" t="str">
        <f>"4313000"</f>
        <v>4313000</v>
      </c>
      <c r="C60" t="s">
        <v>651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367</v>
      </c>
      <c r="B61" t="str">
        <f>"4331000"</f>
        <v>4331000</v>
      </c>
      <c r="C61" t="s">
        <v>652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367</v>
      </c>
      <c r="B62" t="str">
        <f>"4383000"</f>
        <v>4383000</v>
      </c>
      <c r="C62" t="s">
        <v>653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367</v>
      </c>
      <c r="B63" t="str">
        <f>"4411100"</f>
        <v>4411100</v>
      </c>
      <c r="C63" t="s">
        <v>654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367</v>
      </c>
      <c r="B64" t="str">
        <f>"4428100"</f>
        <v>4428100</v>
      </c>
      <c r="C64" t="s">
        <v>655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367</v>
      </c>
      <c r="B65" t="str">
        <f>"4432100"</f>
        <v>4432100</v>
      </c>
      <c r="C65" t="s">
        <v>656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367</v>
      </c>
      <c r="B66" t="str">
        <f>"4441000"</f>
        <v>4441000</v>
      </c>
      <c r="C66" t="s">
        <v>657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367</v>
      </c>
      <c r="B67" t="str">
        <f>"4449000"</f>
        <v>4449000</v>
      </c>
      <c r="C67" t="s">
        <v>658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367</v>
      </c>
      <c r="B68" t="str">
        <f>"4451000"</f>
        <v>4451000</v>
      </c>
      <c r="C68" t="s">
        <v>659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367</v>
      </c>
      <c r="B69" t="str">
        <f>"4452000"</f>
        <v>4452000</v>
      </c>
      <c r="C69" t="s">
        <v>660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367</v>
      </c>
      <c r="B70" t="str">
        <f>"4454000"</f>
        <v>4454000</v>
      </c>
      <c r="C70" t="s">
        <v>661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367</v>
      </c>
      <c r="B71" t="str">
        <f>"4471100"</f>
        <v>4471100</v>
      </c>
      <c r="C71" t="s">
        <v>662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367</v>
      </c>
      <c r="B72" t="str">
        <f>"4471200"</f>
        <v>4471200</v>
      </c>
      <c r="C72" t="s">
        <v>663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367</v>
      </c>
      <c r="B73" t="str">
        <f>"4471300"</f>
        <v>4471300</v>
      </c>
      <c r="C73" t="s">
        <v>664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367</v>
      </c>
      <c r="B74" t="str">
        <f>"44721000"</f>
        <v>44721000</v>
      </c>
      <c r="C74" t="s">
        <v>648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367</v>
      </c>
      <c r="B75" t="str">
        <f>"4472100"</f>
        <v>4472100</v>
      </c>
      <c r="C75" t="s">
        <v>665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367</v>
      </c>
      <c r="B76" t="str">
        <f>"44722000"</f>
        <v>44722000</v>
      </c>
      <c r="C76" t="s">
        <v>648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367</v>
      </c>
      <c r="B77" t="str">
        <f>"4472200"</f>
        <v>4472200</v>
      </c>
      <c r="C77" t="s">
        <v>666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367</v>
      </c>
      <c r="B78" t="str">
        <f>"44723000"</f>
        <v>44723000</v>
      </c>
      <c r="C78" t="s">
        <v>648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367</v>
      </c>
      <c r="B79" t="str">
        <f>"4472300"</f>
        <v>4472300</v>
      </c>
      <c r="C79" t="s">
        <v>667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367</v>
      </c>
      <c r="B80" t="str">
        <f>"44724000"</f>
        <v>44724000</v>
      </c>
      <c r="C80" t="s">
        <v>648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367</v>
      </c>
      <c r="B81" t="str">
        <f>"4472400"</f>
        <v>4472400</v>
      </c>
      <c r="C81" t="s">
        <v>668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367</v>
      </c>
      <c r="B82" t="str">
        <f>"44725000"</f>
        <v>44725000</v>
      </c>
      <c r="C82" t="s">
        <v>648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367</v>
      </c>
      <c r="B83" t="str">
        <f>"4472500"</f>
        <v>4472500</v>
      </c>
      <c r="C83" t="s">
        <v>669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367</v>
      </c>
      <c r="B84" t="str">
        <f>"4472600"</f>
        <v>4472600</v>
      </c>
      <c r="C84" t="s">
        <v>670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367</v>
      </c>
      <c r="B85" t="str">
        <f>"4478000"</f>
        <v>4478000</v>
      </c>
      <c r="C85" t="s">
        <v>671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367</v>
      </c>
      <c r="B86" t="str">
        <f>"4612000"</f>
        <v>4612000</v>
      </c>
      <c r="C86" t="s">
        <v>672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367</v>
      </c>
      <c r="B87" t="str">
        <f>"4621000"</f>
        <v>4621000</v>
      </c>
      <c r="C87" t="s">
        <v>673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367</v>
      </c>
      <c r="B88" t="str">
        <f>"4626000"</f>
        <v>4626000</v>
      </c>
      <c r="C88" t="s">
        <v>674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367</v>
      </c>
      <c r="B89" t="str">
        <f>"4711000"</f>
        <v>4711000</v>
      </c>
      <c r="C89" t="s">
        <v>608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367</v>
      </c>
      <c r="B90" t="str">
        <f>"4711100"</f>
        <v>4711100</v>
      </c>
      <c r="C90" t="s">
        <v>675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367</v>
      </c>
      <c r="B91" t="str">
        <f>"4711200"</f>
        <v>4711200</v>
      </c>
      <c r="C91" t="s">
        <v>676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367</v>
      </c>
      <c r="B92" t="str">
        <f>"4711300"</f>
        <v>4711300</v>
      </c>
      <c r="C92" t="s">
        <v>677</v>
      </c>
      <c r="D92">
        <v>0</v>
      </c>
      <c r="E92">
        <v>0</v>
      </c>
      <c r="F92">
        <v>0</v>
      </c>
      <c r="G92">
        <v>0</v>
      </c>
    </row>
    <row r="93" spans="1:7" x14ac:dyDescent="0.3">
      <c r="A93" t="s">
        <v>367</v>
      </c>
      <c r="B93" t="str">
        <f>"4711600"</f>
        <v>4711600</v>
      </c>
      <c r="C93" t="s">
        <v>678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367</v>
      </c>
      <c r="B94" t="str">
        <f>"4712210"</f>
        <v>4712210</v>
      </c>
      <c r="C94" t="s">
        <v>679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367</v>
      </c>
      <c r="B95" t="str">
        <f>"4712400"</f>
        <v>4712400</v>
      </c>
      <c r="C95" t="s">
        <v>413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367</v>
      </c>
      <c r="B96" t="str">
        <f>"4712610"</f>
        <v>4712610</v>
      </c>
      <c r="C96" t="s">
        <v>680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367</v>
      </c>
      <c r="B97" t="str">
        <f>"4715000"</f>
        <v>4715000</v>
      </c>
      <c r="C97" t="s">
        <v>681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367</v>
      </c>
      <c r="B98" t="str">
        <f>"4731000"</f>
        <v>4731000</v>
      </c>
      <c r="C98" t="s">
        <v>682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367</v>
      </c>
      <c r="B99" t="str">
        <f>"4732000"</f>
        <v>4732000</v>
      </c>
      <c r="C99" t="s">
        <v>683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367</v>
      </c>
      <c r="B100" t="str">
        <f>"4733000"</f>
        <v>4733000</v>
      </c>
      <c r="C100" t="s">
        <v>684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367</v>
      </c>
      <c r="B101" t="str">
        <f>"4734000"</f>
        <v>4734000</v>
      </c>
      <c r="C101" t="s">
        <v>685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367</v>
      </c>
      <c r="B102" t="str">
        <f>"4735000"</f>
        <v>4735000</v>
      </c>
      <c r="C102" t="s">
        <v>686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367</v>
      </c>
      <c r="B103" t="str">
        <f>"4735100"</f>
        <v>4735100</v>
      </c>
      <c r="C103" t="s">
        <v>687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367</v>
      </c>
      <c r="B104" t="str">
        <f>"4735200"</f>
        <v>4735200</v>
      </c>
      <c r="C104" t="s">
        <v>688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367</v>
      </c>
      <c r="B105" t="str">
        <f>"4735300"</f>
        <v>4735300</v>
      </c>
      <c r="C105" t="s">
        <v>689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367</v>
      </c>
      <c r="B106" t="str">
        <f>"4735400"</f>
        <v>4735400</v>
      </c>
      <c r="C106" t="s">
        <v>690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367</v>
      </c>
      <c r="B107" t="str">
        <f>"4735700"</f>
        <v>4735700</v>
      </c>
      <c r="C107" t="s">
        <v>691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367</v>
      </c>
      <c r="B108" t="str">
        <f>"4736000"</f>
        <v>4736000</v>
      </c>
      <c r="C108" t="s">
        <v>692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367</v>
      </c>
      <c r="B109" t="str">
        <f>"4737000"</f>
        <v>4737000</v>
      </c>
      <c r="C109" t="s">
        <v>693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367</v>
      </c>
      <c r="B110" t="str">
        <f>"4761000"</f>
        <v>4761000</v>
      </c>
      <c r="C110" t="s">
        <v>694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367</v>
      </c>
      <c r="B111" t="str">
        <f>"4762000"</f>
        <v>4762000</v>
      </c>
      <c r="C111" t="s">
        <v>695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367</v>
      </c>
      <c r="B112" t="str">
        <f>"4771000"</f>
        <v>4771000</v>
      </c>
      <c r="C112" t="s">
        <v>696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367</v>
      </c>
      <c r="B113" t="str">
        <f>"5212000"</f>
        <v>5212000</v>
      </c>
      <c r="C113" t="s">
        <v>697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367</v>
      </c>
      <c r="B114" t="str">
        <f>"5213000"</f>
        <v>5213000</v>
      </c>
      <c r="C114" t="s">
        <v>698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367</v>
      </c>
      <c r="B115" t="str">
        <f>"5500000"</f>
        <v>5500000</v>
      </c>
      <c r="C115" t="s">
        <v>699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367</v>
      </c>
      <c r="B116" t="str">
        <f>"5500001"</f>
        <v>5500001</v>
      </c>
      <c r="C116" t="s">
        <v>700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367</v>
      </c>
      <c r="B117" t="str">
        <f>"5500002"</f>
        <v>5500002</v>
      </c>
      <c r="C117" t="s">
        <v>701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367</v>
      </c>
      <c r="B118" t="str">
        <f>"5500003"</f>
        <v>5500003</v>
      </c>
      <c r="C118" t="s">
        <v>702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367</v>
      </c>
      <c r="B119" t="str">
        <f>"5500004"</f>
        <v>5500004</v>
      </c>
      <c r="C119" t="s">
        <v>703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367</v>
      </c>
      <c r="B120" t="str">
        <f>"5500005"</f>
        <v>5500005</v>
      </c>
      <c r="C120" t="s">
        <v>704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367</v>
      </c>
      <c r="B121" t="str">
        <f>"5500006"</f>
        <v>5500006</v>
      </c>
      <c r="C121" t="s">
        <v>705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367</v>
      </c>
      <c r="B122" t="str">
        <f>"5500007"</f>
        <v>5500007</v>
      </c>
      <c r="C122" t="s">
        <v>706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367</v>
      </c>
      <c r="B123" t="str">
        <f>"5711000"</f>
        <v>5711000</v>
      </c>
      <c r="C123" t="s">
        <v>707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367</v>
      </c>
      <c r="B124" t="str">
        <f>"5850000"</f>
        <v>5850000</v>
      </c>
      <c r="C124" t="s">
        <v>708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367</v>
      </c>
      <c r="B125" t="str">
        <f>"5851200"</f>
        <v>5851200</v>
      </c>
      <c r="C125" t="s">
        <v>709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367</v>
      </c>
      <c r="B126" t="str">
        <f>"6051100"</f>
        <v>6051100</v>
      </c>
      <c r="C126" t="s">
        <v>710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367</v>
      </c>
      <c r="B127" t="str">
        <f>"6052100"</f>
        <v>6052100</v>
      </c>
      <c r="C127" t="s">
        <v>711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367</v>
      </c>
      <c r="B128" t="str">
        <f>"6053100"</f>
        <v>6053100</v>
      </c>
      <c r="C128" t="s">
        <v>712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367</v>
      </c>
      <c r="B129" t="str">
        <f>"6054300"</f>
        <v>6054300</v>
      </c>
      <c r="C129" t="s">
        <v>713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367</v>
      </c>
      <c r="B130" t="str">
        <f>"6055100"</f>
        <v>6055100</v>
      </c>
      <c r="C130" t="s">
        <v>714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367</v>
      </c>
      <c r="B131" t="str">
        <f>"6055200"</f>
        <v>6055200</v>
      </c>
      <c r="C131" t="s">
        <v>715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367</v>
      </c>
      <c r="B132" t="str">
        <f>"6056800"</f>
        <v>6056800</v>
      </c>
      <c r="C132" t="s">
        <v>716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367</v>
      </c>
      <c r="B133" t="str">
        <f>"6057000"</f>
        <v>6057000</v>
      </c>
      <c r="C133" t="s">
        <v>717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367</v>
      </c>
      <c r="B134" t="str">
        <f>"6058100"</f>
        <v>6058100</v>
      </c>
      <c r="C134" t="s">
        <v>718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367</v>
      </c>
      <c r="B135" t="str">
        <f>"6058200"</f>
        <v>6058200</v>
      </c>
      <c r="C135" t="s">
        <v>719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367</v>
      </c>
      <c r="B136" t="str">
        <f>"6058300"</f>
        <v>6058300</v>
      </c>
      <c r="C136" t="s">
        <v>720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367</v>
      </c>
      <c r="B137" t="str">
        <f>"6141000"</f>
        <v>6141000</v>
      </c>
      <c r="C137" t="s">
        <v>721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367</v>
      </c>
      <c r="B138" t="str">
        <f>"6161000"</f>
        <v>6161000</v>
      </c>
      <c r="C138" t="s">
        <v>722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367</v>
      </c>
      <c r="B139" t="str">
        <f>"6162000"</f>
        <v>6162000</v>
      </c>
      <c r="C139" t="s">
        <v>723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367</v>
      </c>
      <c r="B140" t="str">
        <f>"6181100"</f>
        <v>6181100</v>
      </c>
      <c r="C140" t="s">
        <v>724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367</v>
      </c>
      <c r="B141" t="str">
        <f>"6181200"</f>
        <v>6181200</v>
      </c>
      <c r="C141" t="s">
        <v>725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367</v>
      </c>
      <c r="B142" t="str">
        <f>"6181300"</f>
        <v>6181300</v>
      </c>
      <c r="C142" t="s">
        <v>726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367</v>
      </c>
      <c r="B143" t="str">
        <f>"6181400"</f>
        <v>6181400</v>
      </c>
      <c r="C143" t="s">
        <v>727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367</v>
      </c>
      <c r="B144" t="str">
        <f>"6211000"</f>
        <v>6211000</v>
      </c>
      <c r="C144" t="s">
        <v>728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367</v>
      </c>
      <c r="B145" t="str">
        <f>"6216000"</f>
        <v>6216000</v>
      </c>
      <c r="C145" t="s">
        <v>729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367</v>
      </c>
      <c r="B146" t="str">
        <f>"6218000"</f>
        <v>6218000</v>
      </c>
      <c r="C146" t="s">
        <v>730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367</v>
      </c>
      <c r="B147" t="str">
        <f>"6222100"</f>
        <v>6222100</v>
      </c>
      <c r="C147" t="s">
        <v>731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t="s">
        <v>367</v>
      </c>
      <c r="B148" t="str">
        <f>"6228000"</f>
        <v>6228000</v>
      </c>
      <c r="C148" t="s">
        <v>732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367</v>
      </c>
      <c r="B149" t="str">
        <f>"6231000"</f>
        <v>6231000</v>
      </c>
      <c r="C149" t="s">
        <v>648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367</v>
      </c>
      <c r="B150" t="str">
        <f>"6241100"</f>
        <v>6241100</v>
      </c>
      <c r="C150" t="s">
        <v>733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367</v>
      </c>
      <c r="B151" t="str">
        <f>"6242100"</f>
        <v>6242100</v>
      </c>
      <c r="C151" t="s">
        <v>734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367</v>
      </c>
      <c r="B152" t="str">
        <f>"6243100"</f>
        <v>6243100</v>
      </c>
      <c r="C152" t="s">
        <v>735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367</v>
      </c>
      <c r="B153" t="str">
        <f>"6243300"</f>
        <v>6243300</v>
      </c>
      <c r="C153" t="s">
        <v>736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367</v>
      </c>
      <c r="B154" t="str">
        <f>"6243400"</f>
        <v>6243400</v>
      </c>
      <c r="C154" t="s">
        <v>737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367</v>
      </c>
      <c r="B155" t="str">
        <f>"6251100"</f>
        <v>6251100</v>
      </c>
      <c r="C155" t="s">
        <v>738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367</v>
      </c>
      <c r="B156" t="str">
        <f>"6253100"</f>
        <v>6253100</v>
      </c>
      <c r="C156" t="s">
        <v>739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367</v>
      </c>
      <c r="B157" t="str">
        <f>"6254100"</f>
        <v>6254100</v>
      </c>
      <c r="C157" t="s">
        <v>740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367</v>
      </c>
      <c r="B158" t="str">
        <f>"6265100"</f>
        <v>6265100</v>
      </c>
      <c r="C158" t="s">
        <v>741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367</v>
      </c>
      <c r="B159" t="str">
        <f>"6265200"</f>
        <v>6265200</v>
      </c>
      <c r="C159" t="s">
        <v>742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367</v>
      </c>
      <c r="B160" t="str">
        <f>"6271100"</f>
        <v>6271100</v>
      </c>
      <c r="C160" t="s">
        <v>743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367</v>
      </c>
      <c r="B161" t="str">
        <f>"6271200"</f>
        <v>6271200</v>
      </c>
      <c r="C161" t="s">
        <v>744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367</v>
      </c>
      <c r="B162" t="str">
        <f>"6271300"</f>
        <v>6271300</v>
      </c>
      <c r="C162" t="s">
        <v>745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367</v>
      </c>
      <c r="B163" t="str">
        <f>"6272100"</f>
        <v>6272100</v>
      </c>
      <c r="C163" t="s">
        <v>746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367</v>
      </c>
      <c r="B164" t="str">
        <f>"6273100"</f>
        <v>6273100</v>
      </c>
      <c r="C164" t="s">
        <v>747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t="s">
        <v>367</v>
      </c>
      <c r="B165" t="str">
        <f>"6274100"</f>
        <v>6274100</v>
      </c>
      <c r="C165" t="s">
        <v>748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367</v>
      </c>
      <c r="B166" t="str">
        <f>"6276100"</f>
        <v>6276100</v>
      </c>
      <c r="C166" t="s">
        <v>749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367</v>
      </c>
      <c r="B167" t="str">
        <f>"6276200"</f>
        <v>6276200</v>
      </c>
      <c r="C167" t="s">
        <v>750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367</v>
      </c>
      <c r="B168" t="str">
        <f>"6278100"</f>
        <v>6278100</v>
      </c>
      <c r="C168" t="s">
        <v>751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367</v>
      </c>
      <c r="B169" t="str">
        <f>"6278800"</f>
        <v>6278800</v>
      </c>
      <c r="C169" t="s">
        <v>752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367</v>
      </c>
      <c r="B170" t="str">
        <f>"6281100"</f>
        <v>6281100</v>
      </c>
      <c r="C170" t="s">
        <v>753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367</v>
      </c>
      <c r="B171" t="str">
        <f>"6281800"</f>
        <v>6281800</v>
      </c>
      <c r="C171" t="s">
        <v>754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367</v>
      </c>
      <c r="B172" t="str">
        <f>"6288100"</f>
        <v>6288100</v>
      </c>
      <c r="C172" t="s">
        <v>755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367</v>
      </c>
      <c r="B173" t="str">
        <f>"6317000"</f>
        <v>6317000</v>
      </c>
      <c r="C173" t="s">
        <v>756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367</v>
      </c>
      <c r="B174" t="str">
        <f>"6318100"</f>
        <v>6318100</v>
      </c>
      <c r="C174" t="s">
        <v>757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367</v>
      </c>
      <c r="B175" t="str">
        <f>"6318800"</f>
        <v>6318800</v>
      </c>
      <c r="C175" t="s">
        <v>758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367</v>
      </c>
      <c r="B176" t="str">
        <f>"6324100"</f>
        <v>6324100</v>
      </c>
      <c r="C176" t="s">
        <v>759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367</v>
      </c>
      <c r="B177" t="str">
        <f>"6324200"</f>
        <v>6324200</v>
      </c>
      <c r="C177" t="s">
        <v>760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367</v>
      </c>
      <c r="B178" t="str">
        <f>"6324300"</f>
        <v>6324300</v>
      </c>
      <c r="C178" t="s">
        <v>761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367</v>
      </c>
      <c r="B179" t="str">
        <f>"6324400"</f>
        <v>6324400</v>
      </c>
      <c r="C179" t="s">
        <v>762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367</v>
      </c>
      <c r="B180" t="str">
        <f>"6324800"</f>
        <v>6324800</v>
      </c>
      <c r="C180" t="s">
        <v>763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367</v>
      </c>
      <c r="B181" t="str">
        <f>"6325100"</f>
        <v>6325100</v>
      </c>
      <c r="C181" t="s">
        <v>764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367</v>
      </c>
      <c r="B182" t="str">
        <f>"6325200"</f>
        <v>6325200</v>
      </c>
      <c r="C182" t="s">
        <v>765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367</v>
      </c>
      <c r="B183" t="str">
        <f>"6328100"</f>
        <v>6328100</v>
      </c>
      <c r="C183" t="s">
        <v>766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367</v>
      </c>
      <c r="B184" t="str">
        <f>"6328200"</f>
        <v>6328200</v>
      </c>
      <c r="C184" t="s">
        <v>767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367</v>
      </c>
      <c r="B185" t="str">
        <f>"6331000"</f>
        <v>6331000</v>
      </c>
      <c r="C185" t="s">
        <v>768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367</v>
      </c>
      <c r="B186" t="str">
        <f>"6332000"</f>
        <v>6332000</v>
      </c>
      <c r="C186" t="s">
        <v>769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367</v>
      </c>
      <c r="B187" t="str">
        <f>"6345000"</f>
        <v>6345000</v>
      </c>
      <c r="C187" t="s">
        <v>770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367</v>
      </c>
      <c r="B188" t="str">
        <f>"6351100"</f>
        <v>6351100</v>
      </c>
      <c r="C188" t="s">
        <v>771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367</v>
      </c>
      <c r="B189" t="str">
        <f>"6382100"</f>
        <v>6382100</v>
      </c>
      <c r="C189" t="s">
        <v>772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367</v>
      </c>
      <c r="B190" t="str">
        <f>"6383100"</f>
        <v>6383100</v>
      </c>
      <c r="C190" t="s">
        <v>773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367</v>
      </c>
      <c r="B191" t="str">
        <f>"6383200"</f>
        <v>6383200</v>
      </c>
      <c r="C191" t="s">
        <v>774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367</v>
      </c>
      <c r="B192" t="str">
        <f>"6383300"</f>
        <v>6383300</v>
      </c>
      <c r="C192" t="s">
        <v>775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367</v>
      </c>
      <c r="B193" t="str">
        <f>"6383400"</f>
        <v>6383400</v>
      </c>
      <c r="C193" t="s">
        <v>776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367</v>
      </c>
      <c r="B194" t="str">
        <f>"6383500"</f>
        <v>6383500</v>
      </c>
      <c r="C194" t="s">
        <v>777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t="s">
        <v>367</v>
      </c>
      <c r="B195" t="str">
        <f>"6383600"</f>
        <v>6383600</v>
      </c>
      <c r="C195" t="s">
        <v>778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t="s">
        <v>367</v>
      </c>
      <c r="B196" t="str">
        <f>"6384100"</f>
        <v>6384100</v>
      </c>
      <c r="C196" t="s">
        <v>779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t="s">
        <v>367</v>
      </c>
      <c r="B197" t="str">
        <f>"6384200"</f>
        <v>6384200</v>
      </c>
      <c r="C197" t="s">
        <v>780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367</v>
      </c>
      <c r="B198" t="str">
        <f>"6384300"</f>
        <v>6384300</v>
      </c>
      <c r="C198" t="s">
        <v>781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t="s">
        <v>367</v>
      </c>
      <c r="B199" t="str">
        <f>"6411100"</f>
        <v>6411100</v>
      </c>
      <c r="C199" t="s">
        <v>782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t="s">
        <v>367</v>
      </c>
      <c r="B200" t="str">
        <f>"6412100"</f>
        <v>6412100</v>
      </c>
      <c r="C200" t="s">
        <v>783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367</v>
      </c>
      <c r="B201" t="str">
        <f>"64132000"</f>
        <v>64132000</v>
      </c>
      <c r="C201" t="s">
        <v>648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367</v>
      </c>
      <c r="B202" t="str">
        <f>"6413300"</f>
        <v>6413300</v>
      </c>
      <c r="C202" t="s">
        <v>784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367</v>
      </c>
      <c r="B203" t="str">
        <f>"6413400"</f>
        <v>6413400</v>
      </c>
      <c r="C203" t="s">
        <v>785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367</v>
      </c>
      <c r="B204" t="str">
        <f>"6418100"</f>
        <v>6418100</v>
      </c>
      <c r="C204" t="s">
        <v>786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367</v>
      </c>
      <c r="B205" t="str">
        <f>"6461100"</f>
        <v>6461100</v>
      </c>
      <c r="C205" t="s">
        <v>787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367</v>
      </c>
      <c r="B206" t="str">
        <f>"6463100"</f>
        <v>6463100</v>
      </c>
      <c r="C206" t="s">
        <v>788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367</v>
      </c>
      <c r="B207" t="str">
        <f>"6464100"</f>
        <v>6464100</v>
      </c>
      <c r="C207" t="s">
        <v>789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367</v>
      </c>
      <c r="B208" t="str">
        <f>"6468100"</f>
        <v>6468100</v>
      </c>
      <c r="C208" t="s">
        <v>790</v>
      </c>
      <c r="D208">
        <v>0</v>
      </c>
      <c r="E208">
        <v>0</v>
      </c>
      <c r="F208">
        <v>0</v>
      </c>
      <c r="G208">
        <v>0</v>
      </c>
    </row>
    <row r="209" spans="1:7" x14ac:dyDescent="0.3">
      <c r="A209" t="s">
        <v>367</v>
      </c>
      <c r="B209" t="str">
        <f>"6478100"</f>
        <v>6478100</v>
      </c>
      <c r="C209" t="s">
        <v>791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367</v>
      </c>
      <c r="B210" t="str">
        <f>"6480000"</f>
        <v>6480000</v>
      </c>
      <c r="C210" t="s">
        <v>792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t="s">
        <v>367</v>
      </c>
      <c r="B211" t="str">
        <f>"6481100"</f>
        <v>6481100</v>
      </c>
      <c r="C211" t="s">
        <v>793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367</v>
      </c>
      <c r="B212" t="str">
        <f>"6541000"</f>
        <v>6541000</v>
      </c>
      <c r="C212" t="s">
        <v>794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367</v>
      </c>
      <c r="B213" t="str">
        <f>"6561000"</f>
        <v>6561000</v>
      </c>
      <c r="C213" t="s">
        <v>795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367</v>
      </c>
      <c r="B214" t="str">
        <f>"6581100"</f>
        <v>6581100</v>
      </c>
      <c r="C214" t="s">
        <v>796</v>
      </c>
      <c r="D214">
        <v>0</v>
      </c>
      <c r="E214">
        <v>0</v>
      </c>
      <c r="F214">
        <v>0</v>
      </c>
      <c r="G214">
        <v>0</v>
      </c>
    </row>
    <row r="215" spans="1:7" x14ac:dyDescent="0.3">
      <c r="A215" t="s">
        <v>367</v>
      </c>
      <c r="B215" t="str">
        <f>"6582100"</f>
        <v>6582100</v>
      </c>
      <c r="C215" t="s">
        <v>797</v>
      </c>
      <c r="D215">
        <v>0</v>
      </c>
      <c r="E215">
        <v>0</v>
      </c>
      <c r="F215">
        <v>0</v>
      </c>
      <c r="G215">
        <v>0</v>
      </c>
    </row>
    <row r="216" spans="1:7" x14ac:dyDescent="0.3">
      <c r="A216" t="s">
        <v>367</v>
      </c>
      <c r="B216" t="str">
        <f>"6584100"</f>
        <v>6584100</v>
      </c>
      <c r="C216" t="s">
        <v>798</v>
      </c>
      <c r="D216">
        <v>0</v>
      </c>
      <c r="E216">
        <v>0</v>
      </c>
      <c r="F216">
        <v>0</v>
      </c>
      <c r="G216">
        <v>0</v>
      </c>
    </row>
    <row r="217" spans="1:7" x14ac:dyDescent="0.3">
      <c r="A217" t="s">
        <v>367</v>
      </c>
      <c r="B217" t="str">
        <f>"6584200"</f>
        <v>6584200</v>
      </c>
      <c r="C217" t="s">
        <v>799</v>
      </c>
      <c r="D217">
        <v>0</v>
      </c>
      <c r="E217">
        <v>0</v>
      </c>
      <c r="F217">
        <v>0</v>
      </c>
      <c r="G217">
        <v>0</v>
      </c>
    </row>
    <row r="218" spans="1:7" x14ac:dyDescent="0.3">
      <c r="A218" t="s">
        <v>367</v>
      </c>
      <c r="B218" t="str">
        <f>"6598100"</f>
        <v>6598100</v>
      </c>
      <c r="C218" t="s">
        <v>800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367</v>
      </c>
      <c r="B219" t="str">
        <f>"6611100"</f>
        <v>6611100</v>
      </c>
      <c r="C219" t="s">
        <v>801</v>
      </c>
      <c r="D219">
        <v>0</v>
      </c>
      <c r="E219">
        <v>0</v>
      </c>
      <c r="F219">
        <v>0</v>
      </c>
      <c r="G219">
        <v>0</v>
      </c>
    </row>
    <row r="220" spans="1:7" x14ac:dyDescent="0.3">
      <c r="A220" t="s">
        <v>367</v>
      </c>
      <c r="B220" t="str">
        <f>"66112000"</f>
        <v>66112000</v>
      </c>
      <c r="C220" t="s">
        <v>648</v>
      </c>
      <c r="D220">
        <v>0</v>
      </c>
      <c r="E220">
        <v>0</v>
      </c>
      <c r="F220">
        <v>0</v>
      </c>
      <c r="G220">
        <v>0</v>
      </c>
    </row>
    <row r="221" spans="1:7" x14ac:dyDescent="0.3">
      <c r="A221" t="s">
        <v>367</v>
      </c>
      <c r="B221" t="str">
        <f>"6611200"</f>
        <v>6611200</v>
      </c>
      <c r="C221" t="s">
        <v>802</v>
      </c>
      <c r="D221">
        <v>0</v>
      </c>
      <c r="E221">
        <v>0</v>
      </c>
      <c r="F221">
        <v>0</v>
      </c>
      <c r="G221">
        <v>0</v>
      </c>
    </row>
    <row r="222" spans="1:7" x14ac:dyDescent="0.3">
      <c r="A222" t="s">
        <v>367</v>
      </c>
      <c r="B222" t="str">
        <f>"6612100"</f>
        <v>6612100</v>
      </c>
      <c r="C222" t="s">
        <v>803</v>
      </c>
      <c r="D222">
        <v>0</v>
      </c>
      <c r="E222">
        <v>0</v>
      </c>
      <c r="F222">
        <v>0</v>
      </c>
      <c r="G222">
        <v>0</v>
      </c>
    </row>
    <row r="223" spans="1:7" x14ac:dyDescent="0.3">
      <c r="A223" t="s">
        <v>367</v>
      </c>
      <c r="B223" t="str">
        <f>"66122000"</f>
        <v>66122000</v>
      </c>
      <c r="C223" t="s">
        <v>648</v>
      </c>
      <c r="D223">
        <v>0</v>
      </c>
      <c r="E223">
        <v>0</v>
      </c>
      <c r="F223">
        <v>0</v>
      </c>
      <c r="G223">
        <v>0</v>
      </c>
    </row>
    <row r="224" spans="1:7" x14ac:dyDescent="0.3">
      <c r="A224" t="s">
        <v>367</v>
      </c>
      <c r="B224" t="str">
        <f>"6612200"</f>
        <v>6612200</v>
      </c>
      <c r="C224" t="s">
        <v>804</v>
      </c>
      <c r="D224">
        <v>0</v>
      </c>
      <c r="E224">
        <v>0</v>
      </c>
      <c r="F224">
        <v>0</v>
      </c>
      <c r="G224">
        <v>0</v>
      </c>
    </row>
    <row r="225" spans="1:7" x14ac:dyDescent="0.3">
      <c r="A225" t="s">
        <v>367</v>
      </c>
      <c r="B225" t="str">
        <f>"6613100"</f>
        <v>6613100</v>
      </c>
      <c r="C225" t="s">
        <v>805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367</v>
      </c>
      <c r="B226" t="str">
        <f>"66132000"</f>
        <v>66132000</v>
      </c>
      <c r="C226" t="s">
        <v>648</v>
      </c>
      <c r="D226">
        <v>0</v>
      </c>
      <c r="E226">
        <v>0</v>
      </c>
      <c r="F226">
        <v>0</v>
      </c>
      <c r="G226">
        <v>0</v>
      </c>
    </row>
    <row r="227" spans="1:7" x14ac:dyDescent="0.3">
      <c r="A227" t="s">
        <v>367</v>
      </c>
      <c r="B227" t="str">
        <f>"6613200"</f>
        <v>6613200</v>
      </c>
      <c r="C227" t="s">
        <v>806</v>
      </c>
      <c r="D227">
        <v>0</v>
      </c>
      <c r="E227">
        <v>0</v>
      </c>
      <c r="F227">
        <v>0</v>
      </c>
      <c r="G227">
        <v>0</v>
      </c>
    </row>
    <row r="228" spans="1:7" x14ac:dyDescent="0.3">
      <c r="A228" t="s">
        <v>367</v>
      </c>
      <c r="B228" t="str">
        <f>"6613300"</f>
        <v>6613300</v>
      </c>
      <c r="C228" t="s">
        <v>807</v>
      </c>
      <c r="D228">
        <v>0</v>
      </c>
      <c r="E228">
        <v>0</v>
      </c>
      <c r="F228">
        <v>0</v>
      </c>
      <c r="G228">
        <v>0</v>
      </c>
    </row>
    <row r="229" spans="1:7" x14ac:dyDescent="0.3">
      <c r="A229" t="s">
        <v>367</v>
      </c>
      <c r="B229" t="str">
        <f>"6613400"</f>
        <v>6613400</v>
      </c>
      <c r="C229" t="s">
        <v>808</v>
      </c>
      <c r="D229">
        <v>0</v>
      </c>
      <c r="E229">
        <v>0</v>
      </c>
      <c r="F229">
        <v>0</v>
      </c>
      <c r="G229">
        <v>0</v>
      </c>
    </row>
    <row r="230" spans="1:7" x14ac:dyDescent="0.3">
      <c r="A230" t="s">
        <v>367</v>
      </c>
      <c r="B230" t="str">
        <f>"6614100"</f>
        <v>6614100</v>
      </c>
      <c r="C230" t="s">
        <v>809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367</v>
      </c>
      <c r="B231" t="str">
        <f>"6615000"</f>
        <v>6615000</v>
      </c>
      <c r="C231" t="s">
        <v>810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367</v>
      </c>
      <c r="B232" t="str">
        <f>"6615100"</f>
        <v>6615100</v>
      </c>
      <c r="C232" t="s">
        <v>811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367</v>
      </c>
      <c r="B233" t="str">
        <f>"6618100"</f>
        <v>6618100</v>
      </c>
      <c r="C233" t="s">
        <v>812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367</v>
      </c>
      <c r="B234" t="str">
        <f>"6631100"</f>
        <v>6631100</v>
      </c>
      <c r="C234" t="s">
        <v>813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367</v>
      </c>
      <c r="B235" t="str">
        <f>"6631200"</f>
        <v>6631200</v>
      </c>
      <c r="C235" t="s">
        <v>814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367</v>
      </c>
      <c r="B236" t="str">
        <f>"6631300"</f>
        <v>6631300</v>
      </c>
      <c r="C236" t="s">
        <v>815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367</v>
      </c>
      <c r="B237" t="str">
        <f>"6631400"</f>
        <v>6631400</v>
      </c>
      <c r="C237" t="s">
        <v>816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t="s">
        <v>367</v>
      </c>
      <c r="B238" t="str">
        <f>"6632100"</f>
        <v>6632100</v>
      </c>
      <c r="C238" t="s">
        <v>817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367</v>
      </c>
      <c r="B239" t="str">
        <f>"6632200"</f>
        <v>6632200</v>
      </c>
      <c r="C239" t="s">
        <v>818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367</v>
      </c>
      <c r="B240" t="str">
        <f>"6634100"</f>
        <v>6634100</v>
      </c>
      <c r="C240" t="s">
        <v>819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t="s">
        <v>367</v>
      </c>
      <c r="B241" t="str">
        <f>"6634200"</f>
        <v>6634200</v>
      </c>
      <c r="C241" t="s">
        <v>820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367</v>
      </c>
      <c r="B242" t="str">
        <f>"6635100"</f>
        <v>6635100</v>
      </c>
      <c r="C242" t="s">
        <v>821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t="s">
        <v>367</v>
      </c>
      <c r="B243" t="str">
        <f>"6635200"</f>
        <v>6635200</v>
      </c>
      <c r="C243" t="s">
        <v>822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367</v>
      </c>
      <c r="B244" t="str">
        <f>"6636100"</f>
        <v>6636100</v>
      </c>
      <c r="C244" t="s">
        <v>823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t="s">
        <v>367</v>
      </c>
      <c r="B245" t="str">
        <f>"6636200"</f>
        <v>6636200</v>
      </c>
      <c r="C245" t="s">
        <v>824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t="s">
        <v>367</v>
      </c>
      <c r="B246" t="str">
        <f>"6636300"</f>
        <v>6636300</v>
      </c>
      <c r="C246" t="s">
        <v>825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367</v>
      </c>
      <c r="B247" t="str">
        <f>"6636400"</f>
        <v>6636400</v>
      </c>
      <c r="C247" t="s">
        <v>826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367</v>
      </c>
      <c r="B248" t="str">
        <f>"6637100"</f>
        <v>6637100</v>
      </c>
      <c r="C248" t="s">
        <v>827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367</v>
      </c>
      <c r="B249" t="str">
        <f>"6637200"</f>
        <v>6637200</v>
      </c>
      <c r="C249" t="s">
        <v>828</v>
      </c>
      <c r="D249">
        <v>0</v>
      </c>
      <c r="E249">
        <v>0</v>
      </c>
      <c r="F249">
        <v>0</v>
      </c>
      <c r="G249">
        <v>0</v>
      </c>
    </row>
    <row r="250" spans="1:7" x14ac:dyDescent="0.3">
      <c r="A250" t="s">
        <v>367</v>
      </c>
      <c r="B250" t="str">
        <f>"6637300"</f>
        <v>6637300</v>
      </c>
      <c r="C250" t="s">
        <v>829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367</v>
      </c>
      <c r="B251" t="str">
        <f>"6637400"</f>
        <v>6637400</v>
      </c>
      <c r="C251" t="s">
        <v>830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367</v>
      </c>
      <c r="B252" t="str">
        <f>"6638100"</f>
        <v>6638100</v>
      </c>
      <c r="C252" t="s">
        <v>831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367</v>
      </c>
      <c r="B253" t="str">
        <f>"6638200"</f>
        <v>6638200</v>
      </c>
      <c r="C253" t="s">
        <v>832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t="s">
        <v>367</v>
      </c>
      <c r="B254" t="str">
        <f>"6641100"</f>
        <v>6641100</v>
      </c>
      <c r="C254" t="s">
        <v>833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367</v>
      </c>
      <c r="B255" t="str">
        <f>"66412000"</f>
        <v>66412000</v>
      </c>
      <c r="C255" t="s">
        <v>648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367</v>
      </c>
      <c r="B256" t="str">
        <f>"6641200"</f>
        <v>6641200</v>
      </c>
      <c r="C256" t="s">
        <v>834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367</v>
      </c>
      <c r="B257" t="str">
        <f>"6660000"</f>
        <v>6660000</v>
      </c>
      <c r="C257" t="s">
        <v>835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367</v>
      </c>
      <c r="B258" t="str">
        <f>"6683800"</f>
        <v>6683800</v>
      </c>
      <c r="C258" t="s">
        <v>836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t="s">
        <v>367</v>
      </c>
      <c r="B259" t="str">
        <f>"6684100"</f>
        <v>6684100</v>
      </c>
      <c r="C259" t="s">
        <v>837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t="s">
        <v>367</v>
      </c>
      <c r="B260" t="str">
        <f>"6684200"</f>
        <v>6684200</v>
      </c>
      <c r="C260" t="s">
        <v>838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t="s">
        <v>367</v>
      </c>
      <c r="B261" t="str">
        <f>"6684500"</f>
        <v>6684500</v>
      </c>
      <c r="C261" t="s">
        <v>839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 t="s">
        <v>367</v>
      </c>
      <c r="B262" t="str">
        <f>"6684600"</f>
        <v>6684600</v>
      </c>
      <c r="C262" t="s">
        <v>840</v>
      </c>
      <c r="D262">
        <v>0</v>
      </c>
      <c r="E262">
        <v>0</v>
      </c>
      <c r="F262">
        <v>0</v>
      </c>
      <c r="G262">
        <v>0</v>
      </c>
    </row>
    <row r="263" spans="1:7" x14ac:dyDescent="0.3">
      <c r="A263" t="s">
        <v>367</v>
      </c>
      <c r="B263" t="str">
        <f>"6685200"</f>
        <v>6685200</v>
      </c>
      <c r="C263" t="s">
        <v>841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367</v>
      </c>
      <c r="B264" t="str">
        <f>"6686000"</f>
        <v>6686000</v>
      </c>
      <c r="C264" t="s">
        <v>842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367</v>
      </c>
      <c r="B265" t="str">
        <f>"6688000"</f>
        <v>6688000</v>
      </c>
      <c r="C265" t="s">
        <v>843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t="s">
        <v>367</v>
      </c>
      <c r="B266" t="str">
        <f>"6813000"</f>
        <v>6813000</v>
      </c>
      <c r="C266" t="s">
        <v>844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t="s">
        <v>367</v>
      </c>
      <c r="B267" t="str">
        <f>"7061000"</f>
        <v>7061000</v>
      </c>
      <c r="C267" t="s">
        <v>845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t="s">
        <v>367</v>
      </c>
      <c r="B268" t="str">
        <f>"7061100"</f>
        <v>7061100</v>
      </c>
      <c r="C268" t="s">
        <v>846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367</v>
      </c>
      <c r="B269" t="str">
        <f>"7061200"</f>
        <v>7061200</v>
      </c>
      <c r="C269" t="s">
        <v>847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t="s">
        <v>367</v>
      </c>
      <c r="B270" t="str">
        <f>"7061300"</f>
        <v>7061300</v>
      </c>
      <c r="C270" t="s">
        <v>848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 t="s">
        <v>367</v>
      </c>
      <c r="B271" t="str">
        <f>"7061400"</f>
        <v>7061400</v>
      </c>
      <c r="C271" t="s">
        <v>849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t="s">
        <v>367</v>
      </c>
      <c r="B272" t="str">
        <f>"7061500"</f>
        <v>7061500</v>
      </c>
      <c r="C272" t="s">
        <v>850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367</v>
      </c>
      <c r="B273" t="str">
        <f>"7061600"</f>
        <v>7061600</v>
      </c>
      <c r="C273" t="s">
        <v>851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t="s">
        <v>367</v>
      </c>
      <c r="B274" t="str">
        <f>"7061700"</f>
        <v>7061700</v>
      </c>
      <c r="C274" t="s">
        <v>852</v>
      </c>
      <c r="D274">
        <v>0</v>
      </c>
      <c r="E274">
        <v>0</v>
      </c>
      <c r="F274">
        <v>0</v>
      </c>
      <c r="G274">
        <v>0</v>
      </c>
    </row>
    <row r="275" spans="1:7" x14ac:dyDescent="0.3">
      <c r="A275" t="s">
        <v>367</v>
      </c>
      <c r="B275" t="str">
        <f>"7061800"</f>
        <v>7061800</v>
      </c>
      <c r="C275" t="s">
        <v>853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t="s">
        <v>428</v>
      </c>
      <c r="B276" t="str">
        <f>"7061"</f>
        <v>7061</v>
      </c>
      <c r="C276" t="s">
        <v>854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t="s">
        <v>367</v>
      </c>
      <c r="B277" t="str">
        <f>"7062000"</f>
        <v>7062000</v>
      </c>
      <c r="C277" t="s">
        <v>855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t="s">
        <v>367</v>
      </c>
      <c r="B278" t="str">
        <f>"7063000"</f>
        <v>7063000</v>
      </c>
      <c r="C278" t="s">
        <v>856</v>
      </c>
      <c r="D278">
        <v>0</v>
      </c>
      <c r="E278">
        <v>0</v>
      </c>
      <c r="F278">
        <v>0</v>
      </c>
      <c r="G278">
        <v>0</v>
      </c>
    </row>
    <row r="279" spans="1:7" x14ac:dyDescent="0.3">
      <c r="A279" t="s">
        <v>367</v>
      </c>
      <c r="B279" t="str">
        <f>"7064000"</f>
        <v>7064000</v>
      </c>
      <c r="C279" t="s">
        <v>857</v>
      </c>
      <c r="D279">
        <v>0</v>
      </c>
      <c r="E279">
        <v>0</v>
      </c>
      <c r="F279">
        <v>0</v>
      </c>
      <c r="G279">
        <v>0</v>
      </c>
    </row>
    <row r="280" spans="1:7" x14ac:dyDescent="0.3">
      <c r="A280" t="s">
        <v>367</v>
      </c>
      <c r="B280" t="str">
        <f>"7065000"</f>
        <v>7065000</v>
      </c>
      <c r="C280" t="s">
        <v>858</v>
      </c>
      <c r="D280">
        <v>0</v>
      </c>
      <c r="E280">
        <v>0</v>
      </c>
      <c r="F280">
        <v>0</v>
      </c>
      <c r="G280">
        <v>0</v>
      </c>
    </row>
    <row r="281" spans="1:7" x14ac:dyDescent="0.3">
      <c r="A281" t="s">
        <v>367</v>
      </c>
      <c r="B281" t="str">
        <f>"7066000"</f>
        <v>7066000</v>
      </c>
      <c r="C281" t="s">
        <v>859</v>
      </c>
      <c r="D281">
        <v>0</v>
      </c>
      <c r="E281">
        <v>0</v>
      </c>
      <c r="F281">
        <v>0</v>
      </c>
      <c r="G281">
        <v>0</v>
      </c>
    </row>
    <row r="282" spans="1:7" x14ac:dyDescent="0.3">
      <c r="A282" t="s">
        <v>367</v>
      </c>
      <c r="B282" t="str">
        <f>"7067000"</f>
        <v>7067000</v>
      </c>
      <c r="C282" t="s">
        <v>860</v>
      </c>
      <c r="D282">
        <v>0</v>
      </c>
      <c r="E282">
        <v>0</v>
      </c>
      <c r="F282">
        <v>0</v>
      </c>
      <c r="G282">
        <v>0</v>
      </c>
    </row>
    <row r="283" spans="1:7" x14ac:dyDescent="0.3">
      <c r="A283" t="s">
        <v>367</v>
      </c>
      <c r="B283" t="str">
        <f>"7068000"</f>
        <v>7068000</v>
      </c>
      <c r="C283" t="s">
        <v>861</v>
      </c>
      <c r="D283">
        <v>0</v>
      </c>
      <c r="E283">
        <v>0</v>
      </c>
      <c r="F283">
        <v>0</v>
      </c>
      <c r="G283">
        <v>0</v>
      </c>
    </row>
    <row r="284" spans="1:7" x14ac:dyDescent="0.3">
      <c r="A284" t="s">
        <v>367</v>
      </c>
      <c r="B284" t="str">
        <f>"7069000"</f>
        <v>7069000</v>
      </c>
      <c r="C284" t="s">
        <v>862</v>
      </c>
      <c r="D284">
        <v>0</v>
      </c>
      <c r="E284">
        <v>0</v>
      </c>
      <c r="F284">
        <v>0</v>
      </c>
      <c r="G284">
        <v>0</v>
      </c>
    </row>
    <row r="285" spans="1:7" x14ac:dyDescent="0.3">
      <c r="A285" t="s">
        <v>428</v>
      </c>
      <c r="B285" t="str">
        <f>"706"</f>
        <v>706</v>
      </c>
      <c r="C285" t="s">
        <v>863</v>
      </c>
      <c r="D285">
        <v>0</v>
      </c>
      <c r="E285">
        <v>0</v>
      </c>
      <c r="F285">
        <v>0</v>
      </c>
      <c r="G285">
        <v>0</v>
      </c>
    </row>
    <row r="286" spans="1:7" x14ac:dyDescent="0.3">
      <c r="A286" t="s">
        <v>367</v>
      </c>
      <c r="B286" t="str">
        <f>"7073000"</f>
        <v>7073000</v>
      </c>
      <c r="C286" t="s">
        <v>864</v>
      </c>
      <c r="D286">
        <v>0</v>
      </c>
      <c r="E286">
        <v>0</v>
      </c>
      <c r="F286">
        <v>0</v>
      </c>
      <c r="G286">
        <v>0</v>
      </c>
    </row>
    <row r="287" spans="1:7" x14ac:dyDescent="0.3">
      <c r="A287" t="s">
        <v>367</v>
      </c>
      <c r="B287" t="str">
        <f>"7078100"</f>
        <v>7078100</v>
      </c>
      <c r="C287" t="s">
        <v>865</v>
      </c>
      <c r="D287">
        <v>0</v>
      </c>
      <c r="E287">
        <v>0</v>
      </c>
      <c r="F287">
        <v>0</v>
      </c>
      <c r="G287">
        <v>0</v>
      </c>
    </row>
    <row r="288" spans="1:7" x14ac:dyDescent="0.3">
      <c r="A288" t="s">
        <v>367</v>
      </c>
      <c r="B288" t="str">
        <f>"7541000"</f>
        <v>7541000</v>
      </c>
      <c r="C288" t="s">
        <v>866</v>
      </c>
      <c r="D288">
        <v>0</v>
      </c>
      <c r="E288">
        <v>0</v>
      </c>
      <c r="F288">
        <v>0</v>
      </c>
      <c r="G288">
        <v>0</v>
      </c>
    </row>
    <row r="289" spans="1:7" x14ac:dyDescent="0.3">
      <c r="A289" t="s">
        <v>367</v>
      </c>
      <c r="B289" t="str">
        <f>"7561000"</f>
        <v>7561000</v>
      </c>
      <c r="C289" t="s">
        <v>867</v>
      </c>
      <c r="D289">
        <v>0</v>
      </c>
      <c r="E289">
        <v>0</v>
      </c>
      <c r="F289">
        <v>0</v>
      </c>
      <c r="G289">
        <v>0</v>
      </c>
    </row>
    <row r="290" spans="1:7" x14ac:dyDescent="0.3">
      <c r="A290" t="s">
        <v>367</v>
      </c>
      <c r="B290" t="str">
        <f>"7582100"</f>
        <v>7582100</v>
      </c>
      <c r="C290" t="s">
        <v>868</v>
      </c>
      <c r="D290">
        <v>0</v>
      </c>
      <c r="E290">
        <v>0</v>
      </c>
      <c r="F290">
        <v>0</v>
      </c>
      <c r="G290">
        <v>0</v>
      </c>
    </row>
    <row r="291" spans="1:7" x14ac:dyDescent="0.3">
      <c r="A291" t="s">
        <v>367</v>
      </c>
      <c r="B291" t="str">
        <f>"7584200"</f>
        <v>7584200</v>
      </c>
      <c r="C291" t="s">
        <v>799</v>
      </c>
      <c r="D291">
        <v>0</v>
      </c>
      <c r="E291">
        <v>0</v>
      </c>
      <c r="F291">
        <v>0</v>
      </c>
      <c r="G291">
        <v>0</v>
      </c>
    </row>
    <row r="292" spans="1:7" x14ac:dyDescent="0.3">
      <c r="A292" t="s">
        <v>367</v>
      </c>
      <c r="B292" t="str">
        <f>"7782000"</f>
        <v>7782000</v>
      </c>
      <c r="C292" t="s">
        <v>869</v>
      </c>
      <c r="D292">
        <v>0</v>
      </c>
      <c r="E292">
        <v>0</v>
      </c>
      <c r="F292">
        <v>0</v>
      </c>
      <c r="G292">
        <v>0</v>
      </c>
    </row>
    <row r="293" spans="1:7" x14ac:dyDescent="0.3">
      <c r="A293" t="s">
        <v>367</v>
      </c>
      <c r="B293" t="str">
        <f>"78102100"</f>
        <v>78102100</v>
      </c>
      <c r="C293" t="s">
        <v>870</v>
      </c>
      <c r="D293">
        <v>0</v>
      </c>
      <c r="E293">
        <v>0</v>
      </c>
      <c r="F293">
        <v>0</v>
      </c>
      <c r="G293">
        <v>0</v>
      </c>
    </row>
    <row r="294" spans="1:7" x14ac:dyDescent="0.3">
      <c r="A294" t="s">
        <v>367</v>
      </c>
      <c r="B294" t="str">
        <f>"7811000"</f>
        <v>7811000</v>
      </c>
      <c r="C294" t="s">
        <v>871</v>
      </c>
      <c r="D294">
        <v>0</v>
      </c>
      <c r="E294">
        <v>0</v>
      </c>
      <c r="F294">
        <v>0</v>
      </c>
      <c r="G294">
        <v>0</v>
      </c>
    </row>
    <row r="295" spans="1:7" x14ac:dyDescent="0.3">
      <c r="A295" t="s">
        <v>367</v>
      </c>
      <c r="B295" t="str">
        <f>"7812000"</f>
        <v>7812000</v>
      </c>
      <c r="C295" t="s">
        <v>872</v>
      </c>
      <c r="D295">
        <v>0</v>
      </c>
      <c r="E295">
        <v>0</v>
      </c>
      <c r="F295">
        <v>0</v>
      </c>
      <c r="G295">
        <v>0</v>
      </c>
    </row>
    <row r="296" spans="1:7" x14ac:dyDescent="0.3">
      <c r="A296" t="s">
        <v>367</v>
      </c>
      <c r="B296" t="str">
        <f>"7813000"</f>
        <v>7813000</v>
      </c>
      <c r="C296" t="s">
        <v>873</v>
      </c>
      <c r="D296">
        <v>0</v>
      </c>
      <c r="E296">
        <v>0</v>
      </c>
      <c r="F296">
        <v>0</v>
      </c>
      <c r="G296">
        <v>0</v>
      </c>
    </row>
    <row r="297" spans="1:7" x14ac:dyDescent="0.3">
      <c r="A297" t="s">
        <v>367</v>
      </c>
      <c r="B297" t="str">
        <f>"7814000"</f>
        <v>7814000</v>
      </c>
      <c r="C297" t="s">
        <v>874</v>
      </c>
      <c r="D297">
        <v>0</v>
      </c>
      <c r="E297">
        <v>0</v>
      </c>
      <c r="F297">
        <v>0</v>
      </c>
      <c r="G297">
        <v>0</v>
      </c>
    </row>
    <row r="298" spans="1:7" x14ac:dyDescent="0.3">
      <c r="A298" t="s">
        <v>367</v>
      </c>
      <c r="B298" t="str">
        <f>"7815000"</f>
        <v>7815000</v>
      </c>
      <c r="C298" t="s">
        <v>875</v>
      </c>
      <c r="D298">
        <v>0</v>
      </c>
      <c r="E298">
        <v>0</v>
      </c>
      <c r="F298">
        <v>0</v>
      </c>
      <c r="G298">
        <v>0</v>
      </c>
    </row>
    <row r="299" spans="1:7" x14ac:dyDescent="0.3">
      <c r="A299" t="s">
        <v>367</v>
      </c>
      <c r="B299" t="str">
        <f>"7816000"</f>
        <v>7816000</v>
      </c>
      <c r="C299" t="s">
        <v>876</v>
      </c>
      <c r="D299">
        <v>0</v>
      </c>
      <c r="E299">
        <v>0</v>
      </c>
      <c r="F299">
        <v>0</v>
      </c>
      <c r="G299">
        <v>0</v>
      </c>
    </row>
    <row r="300" spans="1:7" x14ac:dyDescent="0.3">
      <c r="A300" t="s">
        <v>367</v>
      </c>
      <c r="B300" t="str">
        <f>"7817000"</f>
        <v>7817000</v>
      </c>
      <c r="C300" t="s">
        <v>877</v>
      </c>
      <c r="D300">
        <v>0</v>
      </c>
      <c r="E300">
        <v>0</v>
      </c>
      <c r="F300">
        <v>0</v>
      </c>
      <c r="G300">
        <v>0</v>
      </c>
    </row>
    <row r="301" spans="1:7" x14ac:dyDescent="0.3">
      <c r="A301" t="s">
        <v>367</v>
      </c>
      <c r="B301" t="str">
        <f>"7911000"</f>
        <v>7911000</v>
      </c>
      <c r="C301" t="s">
        <v>878</v>
      </c>
      <c r="D301">
        <v>0</v>
      </c>
      <c r="E301">
        <v>0</v>
      </c>
      <c r="F301">
        <v>0</v>
      </c>
      <c r="G301">
        <v>0</v>
      </c>
    </row>
    <row r="302" spans="1:7" x14ac:dyDescent="0.3">
      <c r="A302" t="s">
        <v>367</v>
      </c>
      <c r="B302" t="str">
        <f>"7911100"</f>
        <v>7911100</v>
      </c>
      <c r="C302" t="s">
        <v>879</v>
      </c>
      <c r="D302">
        <v>0</v>
      </c>
      <c r="E302">
        <v>0</v>
      </c>
      <c r="F302">
        <v>0</v>
      </c>
      <c r="G302">
        <v>0</v>
      </c>
    </row>
    <row r="303" spans="1:7" x14ac:dyDescent="0.3">
      <c r="A303" t="s">
        <v>367</v>
      </c>
      <c r="B303" t="str">
        <f>"812000"</f>
        <v>812000</v>
      </c>
      <c r="C303" t="s">
        <v>880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t="s">
        <v>367</v>
      </c>
      <c r="B304" t="str">
        <f>"8910000"</f>
        <v>8910000</v>
      </c>
      <c r="C304" t="s">
        <v>881</v>
      </c>
      <c r="D304">
        <v>0</v>
      </c>
      <c r="E304">
        <v>0</v>
      </c>
      <c r="F304">
        <v>0</v>
      </c>
      <c r="G30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D024-4364-49F4-BB66-AE89124E11D2}">
  <dimension ref="A1:F98"/>
  <sheetViews>
    <sheetView topLeftCell="A84" workbookViewId="0">
      <selection activeCell="H100" sqref="H100"/>
    </sheetView>
  </sheetViews>
  <sheetFormatPr defaultRowHeight="15.6" x14ac:dyDescent="0.3"/>
  <cols>
    <col min="3" max="3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348</v>
      </c>
      <c r="C2" t="s">
        <v>882</v>
      </c>
      <c r="D2">
        <v>0</v>
      </c>
      <c r="E2">
        <v>0</v>
      </c>
      <c r="F2">
        <v>0</v>
      </c>
    </row>
    <row r="3" spans="1:6" x14ac:dyDescent="0.3">
      <c r="A3" t="s">
        <v>6</v>
      </c>
      <c r="B3" t="s">
        <v>350</v>
      </c>
      <c r="C3" t="s">
        <v>883</v>
      </c>
      <c r="D3">
        <v>0</v>
      </c>
      <c r="E3">
        <v>0</v>
      </c>
      <c r="F3">
        <v>0</v>
      </c>
    </row>
    <row r="4" spans="1:6" x14ac:dyDescent="0.3">
      <c r="A4" t="s">
        <v>6</v>
      </c>
      <c r="B4" t="s">
        <v>352</v>
      </c>
      <c r="C4" t="s">
        <v>884</v>
      </c>
      <c r="D4">
        <v>0</v>
      </c>
      <c r="E4">
        <v>0</v>
      </c>
      <c r="F4">
        <v>0</v>
      </c>
    </row>
    <row r="5" spans="1:6" x14ac:dyDescent="0.3">
      <c r="A5" t="s">
        <v>6</v>
      </c>
      <c r="B5" t="s">
        <v>885</v>
      </c>
      <c r="C5" t="s">
        <v>886</v>
      </c>
      <c r="D5">
        <v>0</v>
      </c>
      <c r="E5">
        <v>0</v>
      </c>
      <c r="F5">
        <v>0</v>
      </c>
    </row>
    <row r="6" spans="1:6" x14ac:dyDescent="0.3">
      <c r="A6" t="s">
        <v>6</v>
      </c>
      <c r="B6" t="s">
        <v>887</v>
      </c>
      <c r="C6" t="s">
        <v>888</v>
      </c>
      <c r="D6">
        <v>0</v>
      </c>
      <c r="E6">
        <v>0</v>
      </c>
      <c r="F6">
        <v>0</v>
      </c>
    </row>
    <row r="7" spans="1:6" x14ac:dyDescent="0.3">
      <c r="A7" t="s">
        <v>6</v>
      </c>
      <c r="B7" t="s">
        <v>889</v>
      </c>
      <c r="C7" t="s">
        <v>564</v>
      </c>
      <c r="D7">
        <v>0</v>
      </c>
      <c r="E7">
        <v>0</v>
      </c>
      <c r="F7">
        <v>0</v>
      </c>
    </row>
    <row r="8" spans="1:6" x14ac:dyDescent="0.3">
      <c r="A8" t="s">
        <v>6</v>
      </c>
      <c r="B8" t="s">
        <v>354</v>
      </c>
      <c r="C8" t="s">
        <v>571</v>
      </c>
      <c r="D8">
        <v>0</v>
      </c>
      <c r="E8">
        <v>0</v>
      </c>
      <c r="F8">
        <v>0</v>
      </c>
    </row>
    <row r="9" spans="1:6" x14ac:dyDescent="0.3">
      <c r="A9" t="s">
        <v>6</v>
      </c>
      <c r="B9" t="s">
        <v>890</v>
      </c>
      <c r="C9" t="s">
        <v>891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">
        <v>892</v>
      </c>
      <c r="C10" t="s">
        <v>893</v>
      </c>
      <c r="D10">
        <v>0</v>
      </c>
      <c r="E10">
        <v>0</v>
      </c>
      <c r="F10">
        <v>0</v>
      </c>
    </row>
    <row r="11" spans="1:6" x14ac:dyDescent="0.3">
      <c r="A11" t="s">
        <v>6</v>
      </c>
      <c r="B11" t="s">
        <v>894</v>
      </c>
      <c r="C11" t="s">
        <v>895</v>
      </c>
      <c r="D11">
        <v>0</v>
      </c>
      <c r="E11">
        <v>0</v>
      </c>
      <c r="F11">
        <v>0</v>
      </c>
    </row>
    <row r="12" spans="1:6" x14ac:dyDescent="0.3">
      <c r="A12" t="s">
        <v>6</v>
      </c>
      <c r="B12" t="s">
        <v>896</v>
      </c>
      <c r="C12" t="s">
        <v>897</v>
      </c>
      <c r="D12">
        <v>0</v>
      </c>
      <c r="E12">
        <v>0</v>
      </c>
      <c r="F12">
        <v>0</v>
      </c>
    </row>
    <row r="13" spans="1:6" x14ac:dyDescent="0.3">
      <c r="A13" t="s">
        <v>6</v>
      </c>
      <c r="B13" t="s">
        <v>898</v>
      </c>
      <c r="C13" t="s">
        <v>899</v>
      </c>
      <c r="D13">
        <v>0</v>
      </c>
      <c r="E13">
        <v>0</v>
      </c>
      <c r="F13">
        <v>0</v>
      </c>
    </row>
    <row r="14" spans="1:6" x14ac:dyDescent="0.3">
      <c r="A14" t="s">
        <v>6</v>
      </c>
      <c r="B14" t="s">
        <v>900</v>
      </c>
      <c r="C14" t="s">
        <v>901</v>
      </c>
      <c r="D14">
        <v>0</v>
      </c>
      <c r="E14">
        <v>0</v>
      </c>
      <c r="F14">
        <v>0</v>
      </c>
    </row>
    <row r="15" spans="1:6" x14ac:dyDescent="0.3">
      <c r="A15" t="s">
        <v>6</v>
      </c>
      <c r="B15" t="s">
        <v>902</v>
      </c>
      <c r="C15" t="s">
        <v>903</v>
      </c>
      <c r="D15">
        <v>0</v>
      </c>
      <c r="E15">
        <v>0</v>
      </c>
      <c r="F15">
        <v>0</v>
      </c>
    </row>
    <row r="16" spans="1:6" x14ac:dyDescent="0.3">
      <c r="A16" t="s">
        <v>6</v>
      </c>
      <c r="B16" t="s">
        <v>904</v>
      </c>
      <c r="C16" t="s">
        <v>905</v>
      </c>
      <c r="D16">
        <v>0</v>
      </c>
      <c r="E16">
        <v>0</v>
      </c>
      <c r="F16">
        <v>0</v>
      </c>
    </row>
    <row r="17" spans="1:6" x14ac:dyDescent="0.3">
      <c r="A17" t="s">
        <v>6</v>
      </c>
      <c r="B17" t="s">
        <v>906</v>
      </c>
      <c r="C17" t="s">
        <v>907</v>
      </c>
      <c r="D17">
        <v>0</v>
      </c>
      <c r="E17">
        <v>0</v>
      </c>
      <c r="F17">
        <v>0</v>
      </c>
    </row>
    <row r="18" spans="1:6" x14ac:dyDescent="0.3">
      <c r="A18" t="s">
        <v>6</v>
      </c>
      <c r="B18" t="s">
        <v>908</v>
      </c>
      <c r="C18" t="s">
        <v>909</v>
      </c>
      <c r="D18">
        <v>0</v>
      </c>
      <c r="E18">
        <v>0</v>
      </c>
      <c r="F18">
        <v>0</v>
      </c>
    </row>
    <row r="19" spans="1:6" x14ac:dyDescent="0.3">
      <c r="A19" t="s">
        <v>6</v>
      </c>
      <c r="B19" t="s">
        <v>910</v>
      </c>
      <c r="C19" t="s">
        <v>911</v>
      </c>
      <c r="D19">
        <v>0</v>
      </c>
      <c r="E19">
        <v>0</v>
      </c>
      <c r="F19">
        <v>0</v>
      </c>
    </row>
    <row r="20" spans="1:6" x14ac:dyDescent="0.3">
      <c r="A20" t="s">
        <v>6</v>
      </c>
      <c r="B20" t="s">
        <v>912</v>
      </c>
      <c r="C20" t="s">
        <v>913</v>
      </c>
      <c r="D20">
        <v>0</v>
      </c>
      <c r="E20">
        <v>0</v>
      </c>
      <c r="F20">
        <v>0</v>
      </c>
    </row>
    <row r="21" spans="1:6" x14ac:dyDescent="0.3">
      <c r="A21" t="s">
        <v>6</v>
      </c>
      <c r="B21" t="s">
        <v>914</v>
      </c>
      <c r="C21" t="s">
        <v>915</v>
      </c>
      <c r="D21">
        <v>0</v>
      </c>
      <c r="E21">
        <v>0</v>
      </c>
      <c r="F21">
        <v>0</v>
      </c>
    </row>
    <row r="22" spans="1:6" x14ac:dyDescent="0.3">
      <c r="A22" t="s">
        <v>6</v>
      </c>
      <c r="B22" t="s">
        <v>916</v>
      </c>
      <c r="C22" t="s">
        <v>917</v>
      </c>
      <c r="D22">
        <v>0</v>
      </c>
      <c r="E22">
        <v>0</v>
      </c>
      <c r="F22">
        <v>0</v>
      </c>
    </row>
    <row r="23" spans="1:6" x14ac:dyDescent="0.3">
      <c r="A23" t="s">
        <v>6</v>
      </c>
      <c r="B23" t="s">
        <v>918</v>
      </c>
      <c r="C23" t="s">
        <v>919</v>
      </c>
      <c r="D23">
        <v>0</v>
      </c>
      <c r="E23">
        <v>0</v>
      </c>
      <c r="F23">
        <v>0</v>
      </c>
    </row>
    <row r="24" spans="1:6" x14ac:dyDescent="0.3">
      <c r="A24" t="s">
        <v>6</v>
      </c>
      <c r="B24" t="s">
        <v>920</v>
      </c>
      <c r="C24" t="s">
        <v>921</v>
      </c>
      <c r="D24">
        <v>0</v>
      </c>
      <c r="E24">
        <v>0</v>
      </c>
      <c r="F24">
        <v>0</v>
      </c>
    </row>
    <row r="25" spans="1:6" x14ac:dyDescent="0.3">
      <c r="A25" t="s">
        <v>6</v>
      </c>
      <c r="B25" t="s">
        <v>922</v>
      </c>
      <c r="C25" t="s">
        <v>923</v>
      </c>
      <c r="D25">
        <v>0</v>
      </c>
      <c r="E25">
        <v>0</v>
      </c>
      <c r="F25">
        <v>0</v>
      </c>
    </row>
    <row r="26" spans="1:6" x14ac:dyDescent="0.3">
      <c r="A26" t="s">
        <v>6</v>
      </c>
      <c r="B26" t="s">
        <v>924</v>
      </c>
      <c r="C26" t="s">
        <v>925</v>
      </c>
      <c r="D26">
        <v>0</v>
      </c>
      <c r="E26">
        <v>0</v>
      </c>
      <c r="F26">
        <v>0</v>
      </c>
    </row>
    <row r="27" spans="1:6" x14ac:dyDescent="0.3">
      <c r="A27" t="s">
        <v>6</v>
      </c>
      <c r="B27" t="s">
        <v>926</v>
      </c>
      <c r="C27" t="s">
        <v>927</v>
      </c>
      <c r="D27">
        <v>0</v>
      </c>
      <c r="E27">
        <v>0</v>
      </c>
      <c r="F27">
        <v>0</v>
      </c>
    </row>
    <row r="28" spans="1:6" x14ac:dyDescent="0.3">
      <c r="A28" t="s">
        <v>6</v>
      </c>
      <c r="B28" t="s">
        <v>928</v>
      </c>
      <c r="C28" t="s">
        <v>929</v>
      </c>
      <c r="D28">
        <v>0</v>
      </c>
      <c r="E28">
        <v>0</v>
      </c>
      <c r="F28">
        <v>0</v>
      </c>
    </row>
    <row r="29" spans="1:6" x14ac:dyDescent="0.3">
      <c r="A29" t="s">
        <v>6</v>
      </c>
      <c r="B29" t="s">
        <v>930</v>
      </c>
      <c r="C29" t="s">
        <v>931</v>
      </c>
      <c r="D29">
        <v>0</v>
      </c>
      <c r="E29">
        <v>0</v>
      </c>
      <c r="F29">
        <v>0</v>
      </c>
    </row>
    <row r="30" spans="1:6" x14ac:dyDescent="0.3">
      <c r="A30" t="s">
        <v>6</v>
      </c>
      <c r="B30" t="s">
        <v>932</v>
      </c>
      <c r="C30" t="s">
        <v>933</v>
      </c>
      <c r="D30">
        <v>0</v>
      </c>
      <c r="E30">
        <v>0</v>
      </c>
      <c r="F30">
        <v>0</v>
      </c>
    </row>
    <row r="31" spans="1:6" x14ac:dyDescent="0.3">
      <c r="A31" t="s">
        <v>6</v>
      </c>
      <c r="B31" t="s">
        <v>934</v>
      </c>
      <c r="C31" t="s">
        <v>935</v>
      </c>
      <c r="D31">
        <v>0</v>
      </c>
      <c r="E31">
        <v>0</v>
      </c>
      <c r="F31">
        <v>0</v>
      </c>
    </row>
    <row r="32" spans="1:6" x14ac:dyDescent="0.3">
      <c r="A32" t="s">
        <v>6</v>
      </c>
      <c r="B32" t="s">
        <v>936</v>
      </c>
      <c r="C32" t="s">
        <v>8</v>
      </c>
      <c r="D32">
        <v>0</v>
      </c>
      <c r="E32">
        <v>0</v>
      </c>
      <c r="F32">
        <v>0</v>
      </c>
    </row>
    <row r="33" spans="1:6" x14ac:dyDescent="0.3">
      <c r="A33" t="s">
        <v>6</v>
      </c>
      <c r="B33" t="s">
        <v>937</v>
      </c>
      <c r="C33" t="s">
        <v>938</v>
      </c>
      <c r="D33">
        <v>0</v>
      </c>
      <c r="E33">
        <v>0</v>
      </c>
      <c r="F33">
        <v>0</v>
      </c>
    </row>
    <row r="34" spans="1:6" x14ac:dyDescent="0.3">
      <c r="A34" t="s">
        <v>6</v>
      </c>
      <c r="B34" t="s">
        <v>939</v>
      </c>
      <c r="C34" t="s">
        <v>940</v>
      </c>
      <c r="D34">
        <v>0</v>
      </c>
      <c r="E34">
        <v>0</v>
      </c>
      <c r="F34">
        <v>0</v>
      </c>
    </row>
    <row r="35" spans="1:6" x14ac:dyDescent="0.3">
      <c r="A35" t="s">
        <v>6</v>
      </c>
      <c r="B35" t="s">
        <v>941</v>
      </c>
      <c r="C35" t="s">
        <v>942</v>
      </c>
      <c r="D35">
        <v>0</v>
      </c>
      <c r="E35">
        <v>0</v>
      </c>
      <c r="F35">
        <v>0</v>
      </c>
    </row>
    <row r="36" spans="1:6" x14ac:dyDescent="0.3">
      <c r="A36" t="s">
        <v>6</v>
      </c>
      <c r="B36" t="s">
        <v>943</v>
      </c>
      <c r="C36" t="s">
        <v>944</v>
      </c>
      <c r="D36">
        <v>0</v>
      </c>
      <c r="E36">
        <v>0</v>
      </c>
      <c r="F36">
        <v>0</v>
      </c>
    </row>
    <row r="37" spans="1:6" x14ac:dyDescent="0.3">
      <c r="A37" t="s">
        <v>6</v>
      </c>
      <c r="B37" t="s">
        <v>593</v>
      </c>
      <c r="C37" t="s">
        <v>945</v>
      </c>
      <c r="D37">
        <v>0</v>
      </c>
      <c r="E37">
        <v>0</v>
      </c>
      <c r="F37">
        <v>0</v>
      </c>
    </row>
    <row r="38" spans="1:6" x14ac:dyDescent="0.3">
      <c r="A38" t="s">
        <v>6</v>
      </c>
      <c r="B38" t="s">
        <v>946</v>
      </c>
      <c r="C38" t="s">
        <v>947</v>
      </c>
      <c r="D38">
        <v>0</v>
      </c>
      <c r="E38">
        <v>0</v>
      </c>
      <c r="F38">
        <v>0</v>
      </c>
    </row>
    <row r="39" spans="1:6" x14ac:dyDescent="0.3">
      <c r="A39" t="s">
        <v>6</v>
      </c>
      <c r="B39" t="s">
        <v>948</v>
      </c>
      <c r="C39" t="s">
        <v>949</v>
      </c>
      <c r="D39">
        <v>0</v>
      </c>
      <c r="E39">
        <v>0</v>
      </c>
      <c r="F39">
        <v>0</v>
      </c>
    </row>
    <row r="40" spans="1:6" x14ac:dyDescent="0.3">
      <c r="A40" t="s">
        <v>6</v>
      </c>
      <c r="B40" t="s">
        <v>950</v>
      </c>
      <c r="C40" t="s">
        <v>951</v>
      </c>
      <c r="D40">
        <v>0</v>
      </c>
      <c r="E40">
        <v>0</v>
      </c>
      <c r="F40">
        <v>0</v>
      </c>
    </row>
    <row r="41" spans="1:6" x14ac:dyDescent="0.3">
      <c r="A41" t="s">
        <v>6</v>
      </c>
      <c r="B41" t="s">
        <v>952</v>
      </c>
      <c r="C41" t="s">
        <v>953</v>
      </c>
      <c r="D41">
        <v>0</v>
      </c>
      <c r="E41">
        <v>0</v>
      </c>
      <c r="F41">
        <v>0</v>
      </c>
    </row>
    <row r="42" spans="1:6" x14ac:dyDescent="0.3">
      <c r="A42" t="s">
        <v>6</v>
      </c>
      <c r="B42" t="s">
        <v>954</v>
      </c>
      <c r="C42" t="s">
        <v>955</v>
      </c>
      <c r="D42">
        <v>0</v>
      </c>
      <c r="E42">
        <v>0</v>
      </c>
      <c r="F42">
        <v>0</v>
      </c>
    </row>
    <row r="43" spans="1:6" x14ac:dyDescent="0.3">
      <c r="A43" t="s">
        <v>6</v>
      </c>
      <c r="B43" t="s">
        <v>956</v>
      </c>
      <c r="C43" t="s">
        <v>957</v>
      </c>
      <c r="D43">
        <v>0</v>
      </c>
      <c r="E43">
        <v>0</v>
      </c>
      <c r="F43">
        <v>0</v>
      </c>
    </row>
    <row r="44" spans="1:6" x14ac:dyDescent="0.3">
      <c r="A44" t="s">
        <v>6</v>
      </c>
      <c r="B44" t="s">
        <v>958</v>
      </c>
      <c r="C44" t="s">
        <v>959</v>
      </c>
      <c r="D44">
        <v>0</v>
      </c>
      <c r="E44">
        <v>0</v>
      </c>
      <c r="F44">
        <v>0</v>
      </c>
    </row>
    <row r="45" spans="1:6" x14ac:dyDescent="0.3">
      <c r="A45" t="s">
        <v>6</v>
      </c>
      <c r="B45" t="s">
        <v>960</v>
      </c>
      <c r="C45" t="s">
        <v>961</v>
      </c>
      <c r="D45">
        <v>0</v>
      </c>
      <c r="E45">
        <v>0</v>
      </c>
      <c r="F45">
        <v>0</v>
      </c>
    </row>
    <row r="46" spans="1:6" x14ac:dyDescent="0.3">
      <c r="A46" t="s">
        <v>6</v>
      </c>
      <c r="B46" t="s">
        <v>962</v>
      </c>
      <c r="C46" t="s">
        <v>963</v>
      </c>
      <c r="D46">
        <v>0</v>
      </c>
      <c r="E46">
        <v>0</v>
      </c>
      <c r="F46">
        <v>0</v>
      </c>
    </row>
    <row r="47" spans="1:6" x14ac:dyDescent="0.3">
      <c r="A47" t="s">
        <v>6</v>
      </c>
      <c r="B47" t="s">
        <v>964</v>
      </c>
      <c r="C47" t="s">
        <v>965</v>
      </c>
      <c r="D47">
        <v>0</v>
      </c>
      <c r="E47">
        <v>0</v>
      </c>
      <c r="F47">
        <v>0</v>
      </c>
    </row>
    <row r="48" spans="1:6" x14ac:dyDescent="0.3">
      <c r="A48" t="s">
        <v>6</v>
      </c>
      <c r="B48" t="s">
        <v>966</v>
      </c>
      <c r="C48" t="s">
        <v>967</v>
      </c>
      <c r="D48">
        <v>0</v>
      </c>
      <c r="E48">
        <v>0</v>
      </c>
      <c r="F48">
        <v>0</v>
      </c>
    </row>
    <row r="49" spans="1:6" x14ac:dyDescent="0.3">
      <c r="A49" t="s">
        <v>6</v>
      </c>
      <c r="B49" t="s">
        <v>968</v>
      </c>
      <c r="C49" t="s">
        <v>969</v>
      </c>
      <c r="D49">
        <v>0</v>
      </c>
      <c r="E49">
        <v>0</v>
      </c>
      <c r="F49">
        <v>0</v>
      </c>
    </row>
    <row r="50" spans="1:6" x14ac:dyDescent="0.3">
      <c r="A50" t="s">
        <v>6</v>
      </c>
      <c r="B50" t="s">
        <v>970</v>
      </c>
      <c r="C50" t="s">
        <v>971</v>
      </c>
      <c r="D50">
        <v>0</v>
      </c>
      <c r="E50">
        <v>0</v>
      </c>
      <c r="F50">
        <v>0</v>
      </c>
    </row>
    <row r="51" spans="1:6" x14ac:dyDescent="0.3">
      <c r="A51" t="s">
        <v>6</v>
      </c>
      <c r="B51" t="s">
        <v>972</v>
      </c>
      <c r="C51" t="s">
        <v>973</v>
      </c>
      <c r="D51">
        <v>0</v>
      </c>
      <c r="E51">
        <v>0</v>
      </c>
      <c r="F51">
        <v>0</v>
      </c>
    </row>
    <row r="52" spans="1:6" x14ac:dyDescent="0.3">
      <c r="A52" t="s">
        <v>6</v>
      </c>
      <c r="B52" t="s">
        <v>974</v>
      </c>
      <c r="C52" t="s">
        <v>975</v>
      </c>
      <c r="D52">
        <v>0</v>
      </c>
      <c r="E52">
        <v>0</v>
      </c>
      <c r="F52">
        <v>0</v>
      </c>
    </row>
    <row r="53" spans="1:6" x14ac:dyDescent="0.3">
      <c r="A53" t="s">
        <v>6</v>
      </c>
      <c r="B53" t="s">
        <v>976</v>
      </c>
      <c r="C53" t="s">
        <v>977</v>
      </c>
      <c r="D53">
        <v>0</v>
      </c>
      <c r="E53">
        <v>0</v>
      </c>
      <c r="F53">
        <v>0</v>
      </c>
    </row>
    <row r="54" spans="1:6" x14ac:dyDescent="0.3">
      <c r="A54" t="s">
        <v>6</v>
      </c>
      <c r="B54" t="s">
        <v>978</v>
      </c>
      <c r="C54" t="s">
        <v>979</v>
      </c>
      <c r="D54">
        <v>0</v>
      </c>
      <c r="E54">
        <v>0</v>
      </c>
      <c r="F54">
        <v>0</v>
      </c>
    </row>
    <row r="55" spans="1:6" x14ac:dyDescent="0.3">
      <c r="A55" t="s">
        <v>6</v>
      </c>
      <c r="B55" t="s">
        <v>980</v>
      </c>
      <c r="C55" t="s">
        <v>981</v>
      </c>
      <c r="D55">
        <v>0</v>
      </c>
      <c r="E55">
        <v>0</v>
      </c>
      <c r="F55">
        <v>0</v>
      </c>
    </row>
    <row r="56" spans="1:6" x14ac:dyDescent="0.3">
      <c r="A56" t="s">
        <v>6</v>
      </c>
      <c r="B56" t="s">
        <v>982</v>
      </c>
      <c r="C56" t="s">
        <v>983</v>
      </c>
      <c r="D56">
        <v>0</v>
      </c>
      <c r="E56">
        <v>0</v>
      </c>
      <c r="F56">
        <v>0</v>
      </c>
    </row>
    <row r="57" spans="1:6" x14ac:dyDescent="0.3">
      <c r="A57" t="s">
        <v>6</v>
      </c>
      <c r="B57" t="s">
        <v>984</v>
      </c>
      <c r="C57" t="s">
        <v>985</v>
      </c>
      <c r="D57">
        <v>0</v>
      </c>
      <c r="E57">
        <v>0</v>
      </c>
      <c r="F57">
        <v>0</v>
      </c>
    </row>
    <row r="58" spans="1:6" x14ac:dyDescent="0.3">
      <c r="A58" t="s">
        <v>6</v>
      </c>
      <c r="B58" t="s">
        <v>986</v>
      </c>
      <c r="C58" t="s">
        <v>987</v>
      </c>
      <c r="D58">
        <v>0</v>
      </c>
      <c r="E58">
        <v>0</v>
      </c>
      <c r="F58">
        <v>0</v>
      </c>
    </row>
    <row r="59" spans="1:6" x14ac:dyDescent="0.3">
      <c r="A59" t="s">
        <v>6</v>
      </c>
      <c r="B59" t="s">
        <v>988</v>
      </c>
      <c r="C59" t="s">
        <v>989</v>
      </c>
      <c r="D59">
        <v>0</v>
      </c>
      <c r="E59">
        <v>0</v>
      </c>
      <c r="F59">
        <v>0</v>
      </c>
    </row>
    <row r="60" spans="1:6" x14ac:dyDescent="0.3">
      <c r="A60" t="s">
        <v>6</v>
      </c>
      <c r="B60" t="s">
        <v>990</v>
      </c>
      <c r="C60" t="s">
        <v>991</v>
      </c>
      <c r="D60">
        <v>0</v>
      </c>
      <c r="E60">
        <v>0</v>
      </c>
      <c r="F60">
        <v>0</v>
      </c>
    </row>
    <row r="61" spans="1:6" x14ac:dyDescent="0.3">
      <c r="A61" t="s">
        <v>6</v>
      </c>
      <c r="B61" t="s">
        <v>992</v>
      </c>
      <c r="C61" t="s">
        <v>993</v>
      </c>
      <c r="D61">
        <v>0</v>
      </c>
      <c r="E61">
        <v>0</v>
      </c>
      <c r="F61">
        <v>0</v>
      </c>
    </row>
    <row r="62" spans="1:6" x14ac:dyDescent="0.3">
      <c r="A62" t="s">
        <v>6</v>
      </c>
      <c r="B62" t="s">
        <v>994</v>
      </c>
      <c r="C62" t="s">
        <v>995</v>
      </c>
      <c r="D62">
        <v>0</v>
      </c>
      <c r="E62">
        <v>0</v>
      </c>
      <c r="F62">
        <v>0</v>
      </c>
    </row>
    <row r="63" spans="1:6" x14ac:dyDescent="0.3">
      <c r="A63" t="s">
        <v>6</v>
      </c>
      <c r="B63" t="s">
        <v>996</v>
      </c>
      <c r="C63" t="s">
        <v>997</v>
      </c>
      <c r="D63">
        <v>0</v>
      </c>
      <c r="E63">
        <v>0</v>
      </c>
      <c r="F63">
        <v>0</v>
      </c>
    </row>
    <row r="64" spans="1:6" x14ac:dyDescent="0.3">
      <c r="A64" t="s">
        <v>6</v>
      </c>
      <c r="B64" t="s">
        <v>998</v>
      </c>
      <c r="C64" t="s">
        <v>999</v>
      </c>
      <c r="D64">
        <v>0</v>
      </c>
      <c r="E64">
        <v>0</v>
      </c>
      <c r="F64">
        <v>0</v>
      </c>
    </row>
    <row r="65" spans="1:6" x14ac:dyDescent="0.3">
      <c r="A65" t="s">
        <v>6</v>
      </c>
      <c r="B65" t="s">
        <v>1000</v>
      </c>
      <c r="C65" t="s">
        <v>1001</v>
      </c>
      <c r="D65">
        <v>0</v>
      </c>
      <c r="E65">
        <v>0</v>
      </c>
      <c r="F65">
        <v>0</v>
      </c>
    </row>
    <row r="66" spans="1:6" x14ac:dyDescent="0.3">
      <c r="A66" t="s">
        <v>6</v>
      </c>
      <c r="B66" t="s">
        <v>1002</v>
      </c>
      <c r="C66" t="s">
        <v>1003</v>
      </c>
      <c r="D66">
        <v>0</v>
      </c>
      <c r="E66">
        <v>0</v>
      </c>
      <c r="F66">
        <v>0</v>
      </c>
    </row>
    <row r="67" spans="1:6" x14ac:dyDescent="0.3">
      <c r="A67" t="s">
        <v>6</v>
      </c>
      <c r="B67" t="s">
        <v>1004</v>
      </c>
      <c r="C67" t="s">
        <v>1005</v>
      </c>
      <c r="D67">
        <v>0</v>
      </c>
      <c r="E67">
        <v>0</v>
      </c>
      <c r="F67">
        <v>0</v>
      </c>
    </row>
    <row r="68" spans="1:6" x14ac:dyDescent="0.3">
      <c r="A68" t="s">
        <v>6</v>
      </c>
      <c r="B68" t="s">
        <v>1006</v>
      </c>
      <c r="C68" t="s">
        <v>1007</v>
      </c>
      <c r="D68">
        <v>0</v>
      </c>
      <c r="E68">
        <v>0</v>
      </c>
      <c r="F68">
        <v>0</v>
      </c>
    </row>
    <row r="69" spans="1:6" x14ac:dyDescent="0.3">
      <c r="A69" t="s">
        <v>6</v>
      </c>
      <c r="B69" t="s">
        <v>1008</v>
      </c>
      <c r="C69" t="s">
        <v>1009</v>
      </c>
      <c r="D69">
        <v>0</v>
      </c>
      <c r="E69">
        <v>0</v>
      </c>
      <c r="F69">
        <v>0</v>
      </c>
    </row>
    <row r="70" spans="1:6" x14ac:dyDescent="0.3">
      <c r="A70" t="s">
        <v>6</v>
      </c>
      <c r="B70" t="s">
        <v>316</v>
      </c>
      <c r="C70" t="s">
        <v>1010</v>
      </c>
      <c r="D70">
        <v>0</v>
      </c>
      <c r="E70">
        <v>0</v>
      </c>
      <c r="F70">
        <v>0</v>
      </c>
    </row>
    <row r="71" spans="1:6" x14ac:dyDescent="0.3">
      <c r="A71" t="s">
        <v>6</v>
      </c>
      <c r="B71" t="s">
        <v>1011</v>
      </c>
      <c r="C71" t="s">
        <v>1012</v>
      </c>
      <c r="D71">
        <v>0</v>
      </c>
      <c r="E71">
        <v>0</v>
      </c>
      <c r="F71">
        <v>0</v>
      </c>
    </row>
    <row r="72" spans="1:6" x14ac:dyDescent="0.3">
      <c r="A72" t="s">
        <v>6</v>
      </c>
      <c r="B72" t="s">
        <v>1013</v>
      </c>
      <c r="C72" t="s">
        <v>1014</v>
      </c>
      <c r="D72">
        <v>0</v>
      </c>
      <c r="E72">
        <v>0</v>
      </c>
      <c r="F72">
        <v>0</v>
      </c>
    </row>
    <row r="73" spans="1:6" x14ac:dyDescent="0.3">
      <c r="A73" t="s">
        <v>6</v>
      </c>
      <c r="B73" t="s">
        <v>1015</v>
      </c>
      <c r="C73" t="s">
        <v>1016</v>
      </c>
      <c r="D73">
        <v>0</v>
      </c>
      <c r="E73">
        <v>0</v>
      </c>
      <c r="F73">
        <v>0</v>
      </c>
    </row>
    <row r="74" spans="1:6" x14ac:dyDescent="0.3">
      <c r="A74" t="s">
        <v>6</v>
      </c>
      <c r="B74" t="s">
        <v>1017</v>
      </c>
      <c r="C74" t="s">
        <v>1018</v>
      </c>
      <c r="D74">
        <v>0</v>
      </c>
      <c r="E74">
        <v>0</v>
      </c>
      <c r="F74">
        <v>0</v>
      </c>
    </row>
    <row r="75" spans="1:6" x14ac:dyDescent="0.3">
      <c r="A75" t="s">
        <v>6</v>
      </c>
      <c r="B75" t="s">
        <v>1019</v>
      </c>
      <c r="C75" t="s">
        <v>1020</v>
      </c>
      <c r="D75">
        <v>0</v>
      </c>
      <c r="E75">
        <v>0</v>
      </c>
      <c r="F75">
        <v>0</v>
      </c>
    </row>
    <row r="76" spans="1:6" x14ac:dyDescent="0.3">
      <c r="A76" t="s">
        <v>6</v>
      </c>
      <c r="B76" t="s">
        <v>1021</v>
      </c>
      <c r="C76" t="s">
        <v>1022</v>
      </c>
      <c r="D76">
        <v>0</v>
      </c>
      <c r="E76">
        <v>0</v>
      </c>
      <c r="F76">
        <v>0</v>
      </c>
    </row>
    <row r="77" spans="1:6" x14ac:dyDescent="0.3">
      <c r="A77" t="s">
        <v>6</v>
      </c>
      <c r="B77" t="s">
        <v>1023</v>
      </c>
      <c r="C77" t="s">
        <v>1024</v>
      </c>
      <c r="D77">
        <v>0</v>
      </c>
      <c r="E77">
        <v>0</v>
      </c>
      <c r="F77">
        <v>0</v>
      </c>
    </row>
    <row r="78" spans="1:6" x14ac:dyDescent="0.3">
      <c r="A78" t="s">
        <v>6</v>
      </c>
      <c r="B78" t="s">
        <v>1025</v>
      </c>
      <c r="C78" t="s">
        <v>1026</v>
      </c>
      <c r="D78">
        <v>0</v>
      </c>
      <c r="E78">
        <v>0</v>
      </c>
      <c r="F78">
        <v>0</v>
      </c>
    </row>
    <row r="79" spans="1:6" x14ac:dyDescent="0.3">
      <c r="A79" t="s">
        <v>6</v>
      </c>
      <c r="B79" t="s">
        <v>1027</v>
      </c>
      <c r="C79" t="s">
        <v>1028</v>
      </c>
      <c r="D79">
        <v>0</v>
      </c>
      <c r="E79">
        <v>0</v>
      </c>
      <c r="F79">
        <v>0</v>
      </c>
    </row>
    <row r="80" spans="1:6" x14ac:dyDescent="0.3">
      <c r="A80" t="s">
        <v>6</v>
      </c>
      <c r="B80" t="s">
        <v>1029</v>
      </c>
      <c r="C80" t="s">
        <v>1030</v>
      </c>
      <c r="D80">
        <v>0</v>
      </c>
      <c r="E80">
        <v>0</v>
      </c>
      <c r="F80">
        <v>0</v>
      </c>
    </row>
    <row r="81" spans="1:6" x14ac:dyDescent="0.3">
      <c r="A81" t="s">
        <v>6</v>
      </c>
      <c r="B81" t="s">
        <v>1031</v>
      </c>
      <c r="C81" t="s">
        <v>1032</v>
      </c>
      <c r="D81">
        <v>0</v>
      </c>
      <c r="E81">
        <v>0</v>
      </c>
      <c r="F81">
        <v>0</v>
      </c>
    </row>
    <row r="82" spans="1:6" x14ac:dyDescent="0.3">
      <c r="A82" t="s">
        <v>6</v>
      </c>
      <c r="B82" t="s">
        <v>1033</v>
      </c>
      <c r="C82" t="s">
        <v>1034</v>
      </c>
      <c r="D82">
        <v>0</v>
      </c>
      <c r="E82">
        <v>0</v>
      </c>
      <c r="F82">
        <v>0</v>
      </c>
    </row>
    <row r="83" spans="1:6" x14ac:dyDescent="0.3">
      <c r="A83" t="s">
        <v>6</v>
      </c>
      <c r="B83" t="s">
        <v>1035</v>
      </c>
      <c r="C83" t="s">
        <v>1036</v>
      </c>
      <c r="D83">
        <v>0</v>
      </c>
      <c r="E83">
        <v>0</v>
      </c>
      <c r="F83">
        <v>0</v>
      </c>
    </row>
    <row r="84" spans="1:6" x14ac:dyDescent="0.3">
      <c r="A84" t="s">
        <v>6</v>
      </c>
      <c r="B84" t="s">
        <v>1037</v>
      </c>
      <c r="C84" t="s">
        <v>1038</v>
      </c>
      <c r="D84">
        <v>0</v>
      </c>
      <c r="E84">
        <v>0</v>
      </c>
      <c r="F84">
        <v>0</v>
      </c>
    </row>
    <row r="85" spans="1:6" x14ac:dyDescent="0.3">
      <c r="A85" t="s">
        <v>6</v>
      </c>
      <c r="B85" t="s">
        <v>1039</v>
      </c>
      <c r="C85" t="s">
        <v>1040</v>
      </c>
      <c r="D85">
        <v>0</v>
      </c>
      <c r="E85">
        <v>0</v>
      </c>
      <c r="F85">
        <v>0</v>
      </c>
    </row>
    <row r="86" spans="1:6" x14ac:dyDescent="0.3">
      <c r="A86" t="s">
        <v>6</v>
      </c>
      <c r="B86" t="s">
        <v>1041</v>
      </c>
      <c r="C86" t="s">
        <v>1042</v>
      </c>
      <c r="D86">
        <v>0</v>
      </c>
      <c r="E86">
        <v>0</v>
      </c>
      <c r="F86">
        <v>0</v>
      </c>
    </row>
    <row r="87" spans="1:6" x14ac:dyDescent="0.3">
      <c r="A87" t="s">
        <v>6</v>
      </c>
      <c r="B87" t="s">
        <v>1043</v>
      </c>
      <c r="C87" t="s">
        <v>1044</v>
      </c>
      <c r="D87">
        <v>0</v>
      </c>
      <c r="E87">
        <v>0</v>
      </c>
      <c r="F87">
        <v>0</v>
      </c>
    </row>
    <row r="88" spans="1:6" x14ac:dyDescent="0.3">
      <c r="A88" t="s">
        <v>6</v>
      </c>
      <c r="B88" t="s">
        <v>1045</v>
      </c>
      <c r="C88" t="s">
        <v>1046</v>
      </c>
      <c r="D88">
        <v>0</v>
      </c>
      <c r="E88">
        <v>0</v>
      </c>
      <c r="F88">
        <v>0</v>
      </c>
    </row>
    <row r="90" spans="1:6" x14ac:dyDescent="0.3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</row>
    <row r="91" spans="1:6" x14ac:dyDescent="0.3">
      <c r="A91" t="s">
        <v>318</v>
      </c>
      <c r="B91" t="s">
        <v>319</v>
      </c>
      <c r="C91" t="s">
        <v>320</v>
      </c>
      <c r="D91">
        <v>0</v>
      </c>
      <c r="E91">
        <v>0</v>
      </c>
      <c r="F91">
        <v>0</v>
      </c>
    </row>
    <row r="92" spans="1:6" x14ac:dyDescent="0.3">
      <c r="A92" t="s">
        <v>318</v>
      </c>
      <c r="B92" t="s">
        <v>321</v>
      </c>
      <c r="C92" t="s">
        <v>594</v>
      </c>
      <c r="D92">
        <v>0</v>
      </c>
      <c r="E92">
        <v>0</v>
      </c>
      <c r="F92">
        <v>0</v>
      </c>
    </row>
    <row r="93" spans="1:6" x14ac:dyDescent="0.3">
      <c r="A93" t="s">
        <v>318</v>
      </c>
      <c r="B93" t="s">
        <v>323</v>
      </c>
      <c r="C93" t="s">
        <v>324</v>
      </c>
      <c r="D93">
        <v>0</v>
      </c>
      <c r="E93">
        <v>0</v>
      </c>
      <c r="F93">
        <v>0</v>
      </c>
    </row>
    <row r="94" spans="1:6" x14ac:dyDescent="0.3">
      <c r="A94" t="s">
        <v>318</v>
      </c>
      <c r="B94" t="s">
        <v>325</v>
      </c>
      <c r="C94" t="s">
        <v>326</v>
      </c>
      <c r="D94">
        <v>0</v>
      </c>
      <c r="E94">
        <v>0</v>
      </c>
      <c r="F94">
        <v>0</v>
      </c>
    </row>
    <row r="95" spans="1:6" x14ac:dyDescent="0.3">
      <c r="A95" t="s">
        <v>318</v>
      </c>
      <c r="B95" t="s">
        <v>329</v>
      </c>
      <c r="C95" t="s">
        <v>330</v>
      </c>
      <c r="D95">
        <v>0</v>
      </c>
      <c r="E95">
        <v>0</v>
      </c>
      <c r="F95">
        <v>0</v>
      </c>
    </row>
    <row r="96" spans="1:6" x14ac:dyDescent="0.3">
      <c r="A96" t="s">
        <v>318</v>
      </c>
      <c r="B96" t="s">
        <v>333</v>
      </c>
      <c r="C96" t="s">
        <v>334</v>
      </c>
      <c r="D96">
        <v>0</v>
      </c>
      <c r="E96">
        <v>0</v>
      </c>
      <c r="F96">
        <v>0</v>
      </c>
    </row>
    <row r="97" spans="1:6" x14ac:dyDescent="0.3">
      <c r="A97" t="s">
        <v>318</v>
      </c>
      <c r="B97" t="s">
        <v>1050</v>
      </c>
      <c r="C97" t="s">
        <v>1051</v>
      </c>
      <c r="D97">
        <v>0</v>
      </c>
      <c r="E97">
        <v>0</v>
      </c>
      <c r="F97">
        <v>0</v>
      </c>
    </row>
    <row r="98" spans="1:6" x14ac:dyDescent="0.3">
      <c r="A98" t="s">
        <v>318</v>
      </c>
      <c r="B98" t="s">
        <v>1052</v>
      </c>
      <c r="C98" t="s">
        <v>328</v>
      </c>
      <c r="D98">
        <v>0</v>
      </c>
      <c r="E98">
        <v>0</v>
      </c>
      <c r="F9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5FA-AAB7-4808-BF25-4BCF33D3A363}">
  <dimension ref="A1:G317"/>
  <sheetViews>
    <sheetView workbookViewId="0">
      <selection sqref="A1:G317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365</v>
      </c>
      <c r="E1" t="s">
        <v>366</v>
      </c>
      <c r="F1" t="s">
        <v>3</v>
      </c>
      <c r="G1" t="s">
        <v>4</v>
      </c>
    </row>
    <row r="2" spans="1:7" x14ac:dyDescent="0.3">
      <c r="A2" t="s">
        <v>367</v>
      </c>
      <c r="B2" t="str">
        <f>"10100000"</f>
        <v>10100000</v>
      </c>
      <c r="C2" t="s">
        <v>1053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367</v>
      </c>
      <c r="B3" t="str">
        <f>"10110000"</f>
        <v>10110000</v>
      </c>
      <c r="C3" t="s">
        <v>1054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367</v>
      </c>
      <c r="B4" t="str">
        <f>"10121000"</f>
        <v>10121000</v>
      </c>
      <c r="C4" t="s">
        <v>1055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367</v>
      </c>
      <c r="B5" t="str">
        <f>"10130000"</f>
        <v>10130000</v>
      </c>
      <c r="C5" t="s">
        <v>1056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367</v>
      </c>
      <c r="B6" t="str">
        <f>"10131000"</f>
        <v>10131000</v>
      </c>
      <c r="C6" t="s">
        <v>1057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367</v>
      </c>
      <c r="B7" t="str">
        <f>"12100000"</f>
        <v>12100000</v>
      </c>
      <c r="C7" t="s">
        <v>1058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367</v>
      </c>
      <c r="B8" t="str">
        <f>"12911000"</f>
        <v>12911000</v>
      </c>
      <c r="C8" t="s">
        <v>372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367</v>
      </c>
      <c r="B9" t="str">
        <f>"13010000"</f>
        <v>13010000</v>
      </c>
      <c r="C9" t="s">
        <v>1059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367</v>
      </c>
      <c r="B10" t="str">
        <f>"13090000"</f>
        <v>13090000</v>
      </c>
      <c r="C10" t="s">
        <v>1060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367</v>
      </c>
      <c r="B11" t="str">
        <f>"13110000"</f>
        <v>13110000</v>
      </c>
      <c r="C11" t="s">
        <v>375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367</v>
      </c>
      <c r="B12" t="str">
        <f>"13910000"</f>
        <v>13910000</v>
      </c>
      <c r="C12" t="s">
        <v>1061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367</v>
      </c>
      <c r="B13" t="str">
        <f>"17301000"</f>
        <v>17301000</v>
      </c>
      <c r="C13" t="s">
        <v>1062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367</v>
      </c>
      <c r="B14" t="str">
        <f>"17630000"</f>
        <v>17630000</v>
      </c>
      <c r="C14" t="s">
        <v>1063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367</v>
      </c>
      <c r="B15" t="str">
        <f>"19620100"</f>
        <v>19620100</v>
      </c>
      <c r="C15" t="s">
        <v>1064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367</v>
      </c>
      <c r="B16" t="str">
        <f>"21100000"</f>
        <v>21100000</v>
      </c>
      <c r="C16" t="s">
        <v>1065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367</v>
      </c>
      <c r="B17" t="str">
        <f>"21311000"</f>
        <v>21311000</v>
      </c>
      <c r="C17" t="s">
        <v>1066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367</v>
      </c>
      <c r="B18" t="str">
        <f>"21320000"</f>
        <v>21320000</v>
      </c>
      <c r="C18" t="s">
        <v>1067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367</v>
      </c>
      <c r="B19" t="str">
        <f>"23510000"</f>
        <v>23510000</v>
      </c>
      <c r="C19" t="s">
        <v>376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367</v>
      </c>
      <c r="B20" t="str">
        <f>"24411100"</f>
        <v>24411100</v>
      </c>
      <c r="C20" t="s">
        <v>377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367</v>
      </c>
      <c r="B21" t="str">
        <f>"24421100"</f>
        <v>24421100</v>
      </c>
      <c r="C21" t="s">
        <v>1068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367</v>
      </c>
      <c r="B22" t="str">
        <f>"24440000"</f>
        <v>24440000</v>
      </c>
      <c r="C22" t="s">
        <v>378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367</v>
      </c>
      <c r="B23" t="str">
        <f>"24511000"</f>
        <v>24511000</v>
      </c>
      <c r="C23" t="s">
        <v>379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367</v>
      </c>
      <c r="B24" t="str">
        <f>"24590000"</f>
        <v>24590000</v>
      </c>
      <c r="C24" t="s">
        <v>614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367</v>
      </c>
      <c r="B25" t="str">
        <f>"27281000"</f>
        <v>27281000</v>
      </c>
      <c r="C25" t="s">
        <v>1069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367</v>
      </c>
      <c r="B26" t="str">
        <f>"27500000"</f>
        <v>27500000</v>
      </c>
      <c r="C26" t="s">
        <v>1070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367</v>
      </c>
      <c r="B27" t="str">
        <f>"27580000"</f>
        <v>27580000</v>
      </c>
      <c r="C27" t="s">
        <v>381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367</v>
      </c>
      <c r="B28" t="str">
        <f>"27581000"</f>
        <v>27581000</v>
      </c>
      <c r="C28" t="s">
        <v>1071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367</v>
      </c>
      <c r="B29" t="str">
        <f>"27840000"</f>
        <v>27840000</v>
      </c>
      <c r="C29" t="s">
        <v>1072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367</v>
      </c>
      <c r="B30" t="str">
        <f>"28110000"</f>
        <v>28110000</v>
      </c>
      <c r="C30" t="s">
        <v>1073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367</v>
      </c>
      <c r="B31" t="str">
        <f>"28311000"</f>
        <v>28311000</v>
      </c>
      <c r="C31" t="s">
        <v>1074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367</v>
      </c>
      <c r="B32" t="str">
        <f>"28350000"</f>
        <v>28350000</v>
      </c>
      <c r="C32" t="s">
        <v>1075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367</v>
      </c>
      <c r="B33" t="str">
        <f>"28441100"</f>
        <v>28441100</v>
      </c>
      <c r="C33" t="s">
        <v>1076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367</v>
      </c>
      <c r="B34" t="str">
        <f>"28442100"</f>
        <v>28442100</v>
      </c>
      <c r="C34" t="s">
        <v>1077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367</v>
      </c>
      <c r="B35" t="str">
        <f>"28452100"</f>
        <v>28452100</v>
      </c>
      <c r="C35" t="s">
        <v>1078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367</v>
      </c>
      <c r="B36" t="str">
        <f>"40100000"</f>
        <v>40100000</v>
      </c>
      <c r="C36" t="s">
        <v>66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367</v>
      </c>
      <c r="B37" t="str">
        <f>"40111000"</f>
        <v>40111000</v>
      </c>
      <c r="C37" t="s">
        <v>1079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367</v>
      </c>
      <c r="B38" t="str">
        <f>"40112000"</f>
        <v>40112000</v>
      </c>
      <c r="C38" t="s">
        <v>1080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367</v>
      </c>
      <c r="B39" t="str">
        <f>"40810000"</f>
        <v>40810000</v>
      </c>
      <c r="C39" t="s">
        <v>1081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367</v>
      </c>
      <c r="B40" t="str">
        <f>"40900000"</f>
        <v>40900000</v>
      </c>
      <c r="C40" t="s">
        <v>1082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367</v>
      </c>
      <c r="B41" t="str">
        <f>"41100000"</f>
        <v>41100000</v>
      </c>
      <c r="C41" t="s">
        <v>413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367</v>
      </c>
      <c r="B42" t="str">
        <f>"41610000"</f>
        <v>41610000</v>
      </c>
      <c r="C42" t="s">
        <v>1083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367</v>
      </c>
      <c r="B43" t="str">
        <f>"41620000"</f>
        <v>41620000</v>
      </c>
      <c r="C43" t="s">
        <v>1084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367</v>
      </c>
      <c r="B44" t="str">
        <f>"41910000"</f>
        <v>41910000</v>
      </c>
      <c r="C44" t="s">
        <v>1085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367</v>
      </c>
      <c r="B45" t="str">
        <f>"42100000"</f>
        <v>42100000</v>
      </c>
      <c r="C45" t="s">
        <v>1086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367</v>
      </c>
      <c r="B46" t="str">
        <f>"42110001"</f>
        <v>42110001</v>
      </c>
      <c r="C46" t="s">
        <v>1087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367</v>
      </c>
      <c r="B47" t="str">
        <f>"42110002"</f>
        <v>42110002</v>
      </c>
      <c r="C47" t="s">
        <v>1088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367</v>
      </c>
      <c r="B48" t="str">
        <f>"42120000"</f>
        <v>42120000</v>
      </c>
      <c r="C48" t="s">
        <v>1089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367</v>
      </c>
      <c r="B49" t="str">
        <f>"42130000"</f>
        <v>42130000</v>
      </c>
      <c r="C49" t="s">
        <v>1090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367</v>
      </c>
      <c r="B50" t="str">
        <f>"42200001"</f>
        <v>42200001</v>
      </c>
      <c r="C50" t="s">
        <v>1091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367</v>
      </c>
      <c r="B51" t="str">
        <f>"42200002"</f>
        <v>42200002</v>
      </c>
      <c r="C51" t="s">
        <v>1092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367</v>
      </c>
      <c r="B52" t="str">
        <f>"42811000"</f>
        <v>42811000</v>
      </c>
      <c r="C52" t="s">
        <v>1093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367</v>
      </c>
      <c r="B53" t="str">
        <f>"42812000"</f>
        <v>42812000</v>
      </c>
      <c r="C53" t="s">
        <v>1094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367</v>
      </c>
      <c r="B54" t="str">
        <f>"42860000"</f>
        <v>42860000</v>
      </c>
      <c r="C54" t="s">
        <v>1095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367</v>
      </c>
      <c r="B55" t="str">
        <f>"43130000"</f>
        <v>43130000</v>
      </c>
      <c r="C55" t="s">
        <v>1096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367</v>
      </c>
      <c r="B56" t="str">
        <f>"43133000"</f>
        <v>43133000</v>
      </c>
      <c r="C56" t="s">
        <v>1097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367</v>
      </c>
      <c r="B57" t="str">
        <f>"43150000"</f>
        <v>43150000</v>
      </c>
      <c r="C57" t="s">
        <v>1098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367</v>
      </c>
      <c r="B58" t="str">
        <f>"43313000"</f>
        <v>43313000</v>
      </c>
      <c r="C58" t="s">
        <v>1099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367</v>
      </c>
      <c r="B59" t="str">
        <f>"43313100"</f>
        <v>43313100</v>
      </c>
      <c r="C59" t="s">
        <v>1100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367</v>
      </c>
      <c r="B60" t="str">
        <f>"43810000"</f>
        <v>43810000</v>
      </c>
      <c r="C60" t="s">
        <v>1101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367</v>
      </c>
      <c r="B61" t="str">
        <f>"43820000"</f>
        <v>43820000</v>
      </c>
      <c r="C61" t="s">
        <v>1102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367</v>
      </c>
      <c r="B62" t="str">
        <f>"43860000"</f>
        <v>43860000</v>
      </c>
      <c r="C62" t="s">
        <v>1103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367</v>
      </c>
      <c r="B63" t="str">
        <f>"44100000"</f>
        <v>44100000</v>
      </c>
      <c r="C63" t="s">
        <v>1104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367</v>
      </c>
      <c r="B64" t="str">
        <f>"44200000"</f>
        <v>44200000</v>
      </c>
      <c r="C64" t="s">
        <v>1105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367</v>
      </c>
      <c r="B65" t="str">
        <f>"44210000"</f>
        <v>44210000</v>
      </c>
      <c r="C65" t="s">
        <v>1106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367</v>
      </c>
      <c r="B66" t="str">
        <f>"44240000"</f>
        <v>44240000</v>
      </c>
      <c r="C66" t="s">
        <v>1107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367</v>
      </c>
      <c r="B67" t="str">
        <f>"44260000"</f>
        <v>44260000</v>
      </c>
      <c r="C67" t="s">
        <v>1108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367</v>
      </c>
      <c r="B68" t="str">
        <f>"44280000"</f>
        <v>44280000</v>
      </c>
      <c r="C68" t="s">
        <v>1109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367</v>
      </c>
      <c r="B69" t="str">
        <f>"44321000"</f>
        <v>44321000</v>
      </c>
      <c r="C69" t="s">
        <v>1110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367</v>
      </c>
      <c r="B70" t="str">
        <f>"44350000"</f>
        <v>44350000</v>
      </c>
      <c r="C70" t="s">
        <v>1111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367</v>
      </c>
      <c r="B71" t="str">
        <f>"44400000"</f>
        <v>44400000</v>
      </c>
      <c r="C71" t="s">
        <v>1112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367</v>
      </c>
      <c r="B72" t="str">
        <f>"44410000"</f>
        <v>44410000</v>
      </c>
      <c r="C72" t="s">
        <v>1113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367</v>
      </c>
      <c r="B73" t="str">
        <f>"44490000"</f>
        <v>44490000</v>
      </c>
      <c r="C73" t="s">
        <v>1114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367</v>
      </c>
      <c r="B74" t="str">
        <f>"44510000"</f>
        <v>44510000</v>
      </c>
      <c r="C74" t="s">
        <v>1115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367</v>
      </c>
      <c r="B75" t="str">
        <f>"44520000"</f>
        <v>44520000</v>
      </c>
      <c r="C75" t="s">
        <v>1116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367</v>
      </c>
      <c r="B76" t="str">
        <f>"44541000"</f>
        <v>44541000</v>
      </c>
      <c r="C76" t="s">
        <v>1117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367</v>
      </c>
      <c r="B77" t="str">
        <f>"44550000"</f>
        <v>44550000</v>
      </c>
      <c r="C77" t="s">
        <v>1118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367</v>
      </c>
      <c r="B78" t="str">
        <f>"44711000"</f>
        <v>44711000</v>
      </c>
      <c r="C78" t="s">
        <v>1119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367</v>
      </c>
      <c r="B79" t="str">
        <f>"44712000"</f>
        <v>44712000</v>
      </c>
      <c r="C79" t="s">
        <v>1120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367</v>
      </c>
      <c r="B80" t="str">
        <f>"44712100"</f>
        <v>44712100</v>
      </c>
      <c r="C80" t="s">
        <v>1121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367</v>
      </c>
      <c r="B81" t="str">
        <f>"44712200"</f>
        <v>44712200</v>
      </c>
      <c r="C81" t="s">
        <v>1122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367</v>
      </c>
      <c r="B82" t="str">
        <f>"44713000"</f>
        <v>44713000</v>
      </c>
      <c r="C82" t="s">
        <v>1123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367</v>
      </c>
      <c r="B83" t="str">
        <f>"44715000"</f>
        <v>44715000</v>
      </c>
      <c r="C83" t="s">
        <v>1124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367</v>
      </c>
      <c r="B84" t="str">
        <f>"44716000"</f>
        <v>44716000</v>
      </c>
      <c r="C84" t="s">
        <v>1125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367</v>
      </c>
      <c r="B85" t="str">
        <f>"44720000"</f>
        <v>44720000</v>
      </c>
      <c r="C85" t="s">
        <v>1126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367</v>
      </c>
      <c r="B86" t="str">
        <f>"44721000"</f>
        <v>44721000</v>
      </c>
      <c r="C86" t="s">
        <v>1127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367</v>
      </c>
      <c r="B87" t="str">
        <f>"44860000"</f>
        <v>44860000</v>
      </c>
      <c r="C87" t="s">
        <v>1128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367</v>
      </c>
      <c r="B88" t="str">
        <f>"46120000"</f>
        <v>46120000</v>
      </c>
      <c r="C88" t="s">
        <v>672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367</v>
      </c>
      <c r="B89" t="str">
        <f>"4613000"</f>
        <v>4613000</v>
      </c>
      <c r="C89" t="s">
        <v>1129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367</v>
      </c>
      <c r="B90" t="str">
        <f>"46210000"</f>
        <v>46210000</v>
      </c>
      <c r="C90" t="s">
        <v>1130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367</v>
      </c>
      <c r="B91" t="str">
        <f>"46500000"</f>
        <v>46500000</v>
      </c>
      <c r="C91" t="s">
        <v>1131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367</v>
      </c>
      <c r="B92" t="str">
        <f>"47100000"</f>
        <v>47100000</v>
      </c>
      <c r="C92" t="s">
        <v>1132</v>
      </c>
      <c r="D92">
        <v>0</v>
      </c>
      <c r="E92">
        <v>0</v>
      </c>
      <c r="F92">
        <v>0</v>
      </c>
      <c r="G92">
        <v>0</v>
      </c>
    </row>
    <row r="93" spans="1:7" x14ac:dyDescent="0.3">
      <c r="A93" t="s">
        <v>367</v>
      </c>
      <c r="B93" t="str">
        <f>"47114000"</f>
        <v>47114000</v>
      </c>
      <c r="C93" t="s">
        <v>1133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367</v>
      </c>
      <c r="B94" t="str">
        <f>"47115000"</f>
        <v>47115000</v>
      </c>
      <c r="C94" t="s">
        <v>676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367</v>
      </c>
      <c r="B95" t="str">
        <f>"47116000"</f>
        <v>47116000</v>
      </c>
      <c r="C95" t="s">
        <v>1134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367</v>
      </c>
      <c r="B96" t="str">
        <f>"47116300"</f>
        <v>47116300</v>
      </c>
      <c r="C96" t="s">
        <v>1135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367</v>
      </c>
      <c r="B97" t="str">
        <f>"47117000"</f>
        <v>47117000</v>
      </c>
      <c r="C97" t="s">
        <v>1136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367</v>
      </c>
      <c r="B98" t="str">
        <f>"47118000"</f>
        <v>47118000</v>
      </c>
      <c r="C98" t="s">
        <v>1137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367</v>
      </c>
      <c r="B99" t="str">
        <f>"47122400"</f>
        <v>47122400</v>
      </c>
      <c r="C99" t="s">
        <v>1138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367</v>
      </c>
      <c r="B100" t="str">
        <f>"47122500"</f>
        <v>47122500</v>
      </c>
      <c r="C100" t="s">
        <v>1139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367</v>
      </c>
      <c r="B101" t="str">
        <f>"47122600"</f>
        <v>47122600</v>
      </c>
      <c r="C101" t="s">
        <v>1140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367</v>
      </c>
      <c r="B102" t="str">
        <f>"47300000"</f>
        <v>47300000</v>
      </c>
      <c r="C102" t="s">
        <v>1141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367</v>
      </c>
      <c r="B103" t="str">
        <f>"47311000"</f>
        <v>47311000</v>
      </c>
      <c r="C103" t="s">
        <v>1142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367</v>
      </c>
      <c r="B104" t="str">
        <f>"47312000"</f>
        <v>47312000</v>
      </c>
      <c r="C104" t="s">
        <v>1143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367</v>
      </c>
      <c r="B105" t="str">
        <f>"47314000"</f>
        <v>47314000</v>
      </c>
      <c r="C105" t="s">
        <v>1144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367</v>
      </c>
      <c r="B106" t="str">
        <f>"47321000"</f>
        <v>47321000</v>
      </c>
      <c r="C106" t="s">
        <v>1145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367</v>
      </c>
      <c r="B107" t="str">
        <f>"47601000"</f>
        <v>47601000</v>
      </c>
      <c r="C107" t="s">
        <v>1146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367</v>
      </c>
      <c r="B108" t="str">
        <f>"47602000"</f>
        <v>47602000</v>
      </c>
      <c r="C108" t="s">
        <v>1147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367</v>
      </c>
      <c r="B109" t="str">
        <f>"47603000"</f>
        <v>47603000</v>
      </c>
      <c r="C109" t="s">
        <v>1148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367</v>
      </c>
      <c r="B110" t="str">
        <f>"47710000"</f>
        <v>47710000</v>
      </c>
      <c r="C110" t="s">
        <v>1149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367</v>
      </c>
      <c r="B111" t="str">
        <f>"52115000"</f>
        <v>52115000</v>
      </c>
      <c r="C111" t="s">
        <v>1150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367</v>
      </c>
      <c r="B112" t="str">
        <f>"52116000"</f>
        <v>52116000</v>
      </c>
      <c r="C112" t="s">
        <v>425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367</v>
      </c>
      <c r="B113" t="str">
        <f>"57110000"</f>
        <v>57110000</v>
      </c>
      <c r="C113" t="s">
        <v>1151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367</v>
      </c>
      <c r="B114" t="str">
        <f>"58500000"</f>
        <v>58500000</v>
      </c>
      <c r="C114" t="s">
        <v>427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367</v>
      </c>
      <c r="B115" t="str">
        <f>"58800000"</f>
        <v>58800000</v>
      </c>
      <c r="C115" t="s">
        <v>1152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367</v>
      </c>
      <c r="B116" t="str">
        <f>"60511000"</f>
        <v>60511000</v>
      </c>
      <c r="C116" t="s">
        <v>431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367</v>
      </c>
      <c r="B117" t="str">
        <f>"60512000"</f>
        <v>60512000</v>
      </c>
      <c r="C117" t="s">
        <v>1153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367</v>
      </c>
      <c r="B118" t="str">
        <f>"60521000"</f>
        <v>60521000</v>
      </c>
      <c r="C118" t="s">
        <v>1154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367</v>
      </c>
      <c r="B119" t="str">
        <f>"60522000"</f>
        <v>60522000</v>
      </c>
      <c r="C119" t="s">
        <v>1155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367</v>
      </c>
      <c r="B120" t="str">
        <f>"60531000"</f>
        <v>60531000</v>
      </c>
      <c r="C120" t="s">
        <v>1156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367</v>
      </c>
      <c r="B121" t="str">
        <f>"60532000"</f>
        <v>60532000</v>
      </c>
      <c r="C121" t="s">
        <v>1157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367</v>
      </c>
      <c r="B122" t="str">
        <f>"60541000"</f>
        <v>60541000</v>
      </c>
      <c r="C122" t="s">
        <v>1158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367</v>
      </c>
      <c r="B123" t="str">
        <f>"60542000"</f>
        <v>60542000</v>
      </c>
      <c r="C123" t="s">
        <v>1159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367</v>
      </c>
      <c r="B124" t="str">
        <f>"60543000"</f>
        <v>60543000</v>
      </c>
      <c r="C124" t="s">
        <v>1160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367</v>
      </c>
      <c r="B125" t="str">
        <f>"60551000"</f>
        <v>60551000</v>
      </c>
      <c r="C125" t="s">
        <v>1161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367</v>
      </c>
      <c r="B126" t="str">
        <f>"60552000"</f>
        <v>60552000</v>
      </c>
      <c r="C126" t="s">
        <v>1162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367</v>
      </c>
      <c r="B127" t="str">
        <f>"60560000"</f>
        <v>60560000</v>
      </c>
      <c r="C127" t="s">
        <v>1163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367</v>
      </c>
      <c r="B128" t="str">
        <f>"60561000"</f>
        <v>60561000</v>
      </c>
      <c r="C128" t="s">
        <v>1164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367</v>
      </c>
      <c r="B129" t="str">
        <f>"60562000"</f>
        <v>60562000</v>
      </c>
      <c r="C129" t="s">
        <v>1165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367</v>
      </c>
      <c r="B130" t="str">
        <f>"60563000"</f>
        <v>60563000</v>
      </c>
      <c r="C130" t="s">
        <v>1166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367</v>
      </c>
      <c r="B131" t="str">
        <f>"60570000"</f>
        <v>60570000</v>
      </c>
      <c r="C131" t="s">
        <v>1167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367</v>
      </c>
      <c r="B132" t="str">
        <f>"60581000"</f>
        <v>60581000</v>
      </c>
      <c r="C132" t="s">
        <v>1168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428</v>
      </c>
      <c r="B133" t="str">
        <f>"60"</f>
        <v>60</v>
      </c>
      <c r="C133" t="s">
        <v>1169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367</v>
      </c>
      <c r="B134" t="str">
        <f>"61400000"</f>
        <v>61400000</v>
      </c>
      <c r="C134" t="s">
        <v>1170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367</v>
      </c>
      <c r="B135" t="str">
        <f>"61600100"</f>
        <v>61600100</v>
      </c>
      <c r="C135" t="s">
        <v>1171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367</v>
      </c>
      <c r="B136" t="str">
        <f>"61811100"</f>
        <v>61811100</v>
      </c>
      <c r="C136" t="s">
        <v>1172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367</v>
      </c>
      <c r="B137" t="str">
        <f>"61811400"</f>
        <v>61811400</v>
      </c>
      <c r="C137" t="s">
        <v>1173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367</v>
      </c>
      <c r="B138" t="str">
        <f>"61811500"</f>
        <v>61811500</v>
      </c>
      <c r="C138" t="s">
        <v>1174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367</v>
      </c>
      <c r="B139" t="str">
        <f>"61811700"</f>
        <v>61811700</v>
      </c>
      <c r="C139" t="s">
        <v>1175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428</v>
      </c>
      <c r="B140" t="str">
        <f>"61"</f>
        <v>61</v>
      </c>
      <c r="C140" t="s">
        <v>1176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367</v>
      </c>
      <c r="B141" t="str">
        <f>"62100100"</f>
        <v>62100100</v>
      </c>
      <c r="C141" t="s">
        <v>1177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367</v>
      </c>
      <c r="B142" t="str">
        <f>"62100200"</f>
        <v>62100200</v>
      </c>
      <c r="C142" t="s">
        <v>1178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367</v>
      </c>
      <c r="B143" t="str">
        <f>"62100300"</f>
        <v>62100300</v>
      </c>
      <c r="C143" t="s">
        <v>1179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367</v>
      </c>
      <c r="B144" t="str">
        <f>"62100400"</f>
        <v>62100400</v>
      </c>
      <c r="C144" t="s">
        <v>1180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367</v>
      </c>
      <c r="B145" t="str">
        <f>"62221000"</f>
        <v>62221000</v>
      </c>
      <c r="C145" t="s">
        <v>1181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367</v>
      </c>
      <c r="B146" t="str">
        <f>"62223000"</f>
        <v>62223000</v>
      </c>
      <c r="C146" t="s">
        <v>1182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367</v>
      </c>
      <c r="B147" t="str">
        <f>"62231000"</f>
        <v>62231000</v>
      </c>
      <c r="C147" t="s">
        <v>1183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t="s">
        <v>367</v>
      </c>
      <c r="B148" t="str">
        <f>"62232000"</f>
        <v>62232000</v>
      </c>
      <c r="C148" t="s">
        <v>1184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367</v>
      </c>
      <c r="B149" t="str">
        <f>"62280000"</f>
        <v>62280000</v>
      </c>
      <c r="C149" t="s">
        <v>1185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367</v>
      </c>
      <c r="B150" t="str">
        <f>"62331000"</f>
        <v>62331000</v>
      </c>
      <c r="C150" t="s">
        <v>1186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367</v>
      </c>
      <c r="B151" t="str">
        <f>"62411000"</f>
        <v>62411000</v>
      </c>
      <c r="C151" t="s">
        <v>1187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367</v>
      </c>
      <c r="B152" t="str">
        <f>"62412000"</f>
        <v>62412000</v>
      </c>
      <c r="C152" t="s">
        <v>1188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367</v>
      </c>
      <c r="B153" t="str">
        <f>"62421000"</f>
        <v>62421000</v>
      </c>
      <c r="C153" t="s">
        <v>1189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367</v>
      </c>
      <c r="B154" t="str">
        <f>"62422000"</f>
        <v>62422000</v>
      </c>
      <c r="C154" t="s">
        <v>1190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367</v>
      </c>
      <c r="B155" t="str">
        <f>"62431000"</f>
        <v>62431000</v>
      </c>
      <c r="C155" t="s">
        <v>1191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367</v>
      </c>
      <c r="B156" t="str">
        <f>"62432000"</f>
        <v>62432000</v>
      </c>
      <c r="C156" t="s">
        <v>1192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367</v>
      </c>
      <c r="B157" t="str">
        <f>"62433000"</f>
        <v>62433000</v>
      </c>
      <c r="C157" t="s">
        <v>1193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367</v>
      </c>
      <c r="B158" t="str">
        <f>"62434000"</f>
        <v>62434000</v>
      </c>
      <c r="C158" t="s">
        <v>1194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367</v>
      </c>
      <c r="B159" t="str">
        <f>"62435000"</f>
        <v>62435000</v>
      </c>
      <c r="C159" t="s">
        <v>1195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367</v>
      </c>
      <c r="B160" t="str">
        <f>"62436000"</f>
        <v>62436000</v>
      </c>
      <c r="C160" t="s">
        <v>1196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367</v>
      </c>
      <c r="B161" t="str">
        <f>"62480000"</f>
        <v>62480000</v>
      </c>
      <c r="C161" t="s">
        <v>1197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367</v>
      </c>
      <c r="B162" t="str">
        <f>"62481000"</f>
        <v>62481000</v>
      </c>
      <c r="C162" t="s">
        <v>1198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367</v>
      </c>
      <c r="B163" t="str">
        <f>"62511000"</f>
        <v>62511000</v>
      </c>
      <c r="C163" t="s">
        <v>1199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367</v>
      </c>
      <c r="B164" t="str">
        <f>"62521100"</f>
        <v>62521100</v>
      </c>
      <c r="C164" t="s">
        <v>1200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t="s">
        <v>367</v>
      </c>
      <c r="B165" t="str">
        <f>"62541100"</f>
        <v>62541100</v>
      </c>
      <c r="C165" t="s">
        <v>1201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367</v>
      </c>
      <c r="B166" t="str">
        <f>"62541200"</f>
        <v>62541200</v>
      </c>
      <c r="C166" t="s">
        <v>1202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367</v>
      </c>
      <c r="B167" t="str">
        <f>"62651000"</f>
        <v>62651000</v>
      </c>
      <c r="C167" t="s">
        <v>456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367</v>
      </c>
      <c r="B168" t="str">
        <f>"62710000"</f>
        <v>62710000</v>
      </c>
      <c r="C168" t="s">
        <v>1203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367</v>
      </c>
      <c r="B169" t="str">
        <f>"62711000"</f>
        <v>62711000</v>
      </c>
      <c r="C169" t="s">
        <v>1204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367</v>
      </c>
      <c r="B170" t="str">
        <f>"62712000"</f>
        <v>62712000</v>
      </c>
      <c r="C170" t="s">
        <v>1205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367</v>
      </c>
      <c r="B171" t="str">
        <f>"62713000"</f>
        <v>62713000</v>
      </c>
      <c r="C171" t="s">
        <v>1206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367</v>
      </c>
      <c r="B172" t="str">
        <f>"62721000"</f>
        <v>62721000</v>
      </c>
      <c r="C172" t="s">
        <v>1207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367</v>
      </c>
      <c r="B173" t="str">
        <f>"62741000"</f>
        <v>62741000</v>
      </c>
      <c r="C173" t="s">
        <v>1208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367</v>
      </c>
      <c r="B174" t="str">
        <f>"62750000"</f>
        <v>62750000</v>
      </c>
      <c r="C174" t="s">
        <v>460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367</v>
      </c>
      <c r="B175" t="str">
        <f>"62760000"</f>
        <v>62760000</v>
      </c>
      <c r="C175" t="s">
        <v>1209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367</v>
      </c>
      <c r="B176" t="str">
        <f>"62780000"</f>
        <v>62780000</v>
      </c>
      <c r="C176" t="s">
        <v>1210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367</v>
      </c>
      <c r="B177" t="str">
        <f>"62781000"</f>
        <v>62781000</v>
      </c>
      <c r="C177" t="s">
        <v>1211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367</v>
      </c>
      <c r="B178" t="str">
        <f>"62811100"</f>
        <v>62811100</v>
      </c>
      <c r="C178" t="s">
        <v>1212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367</v>
      </c>
      <c r="B179" t="str">
        <f>"62811200"</f>
        <v>62811200</v>
      </c>
      <c r="C179" t="s">
        <v>1213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367</v>
      </c>
      <c r="B180" t="str">
        <f>"62811300"</f>
        <v>62811300</v>
      </c>
      <c r="C180" t="s">
        <v>1214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367</v>
      </c>
      <c r="B181" t="str">
        <f>"62831000"</f>
        <v>62831000</v>
      </c>
      <c r="C181" t="s">
        <v>465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367</v>
      </c>
      <c r="B182" t="str">
        <f>"62881000"</f>
        <v>62881000</v>
      </c>
      <c r="C182" t="s">
        <v>1215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367</v>
      </c>
      <c r="B183" t="str">
        <f>"62882000"</f>
        <v>62882000</v>
      </c>
      <c r="C183" t="s">
        <v>1216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428</v>
      </c>
      <c r="B184" t="str">
        <f>"62"</f>
        <v>62</v>
      </c>
      <c r="C184" t="s">
        <v>1217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367</v>
      </c>
      <c r="B185" t="str">
        <f>"63170000"</f>
        <v>63170000</v>
      </c>
      <c r="C185" t="s">
        <v>1218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367</v>
      </c>
      <c r="B186" t="str">
        <f>"63181000"</f>
        <v>63181000</v>
      </c>
      <c r="C186" t="s">
        <v>1219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367</v>
      </c>
      <c r="B187" t="str">
        <f>"63182000"</f>
        <v>63182000</v>
      </c>
      <c r="C187" t="s">
        <v>1220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367</v>
      </c>
      <c r="B188" t="str">
        <f>"63241100"</f>
        <v>63241100</v>
      </c>
      <c r="C188" t="s">
        <v>1221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367</v>
      </c>
      <c r="B189" t="str">
        <f>"63241200"</f>
        <v>63241200</v>
      </c>
      <c r="C189" t="s">
        <v>1222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367</v>
      </c>
      <c r="B190" t="str">
        <f>"63241300"</f>
        <v>63241300</v>
      </c>
      <c r="C190" t="s">
        <v>1223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367</v>
      </c>
      <c r="B191" t="str">
        <f>"63241400"</f>
        <v>63241400</v>
      </c>
      <c r="C191" t="s">
        <v>1224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367</v>
      </c>
      <c r="B192" t="str">
        <f>"63251100"</f>
        <v>63251100</v>
      </c>
      <c r="C192" t="s">
        <v>1225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367</v>
      </c>
      <c r="B193" t="str">
        <f>"63251200"</f>
        <v>63251200</v>
      </c>
      <c r="C193" t="s">
        <v>1226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367</v>
      </c>
      <c r="B194" t="str">
        <f>"63271000"</f>
        <v>63271000</v>
      </c>
      <c r="C194" t="s">
        <v>1227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t="s">
        <v>367</v>
      </c>
      <c r="B195" t="str">
        <f>"63272000"</f>
        <v>63272000</v>
      </c>
      <c r="C195" t="s">
        <v>1228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t="s">
        <v>367</v>
      </c>
      <c r="B196" t="str">
        <f>"63281000"</f>
        <v>63281000</v>
      </c>
      <c r="C196" t="s">
        <v>1229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t="s">
        <v>367</v>
      </c>
      <c r="B197" t="str">
        <f>"63281100"</f>
        <v>63281100</v>
      </c>
      <c r="C197" t="s">
        <v>1230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367</v>
      </c>
      <c r="B198" t="str">
        <f>"63281200"</f>
        <v>63281200</v>
      </c>
      <c r="C198" t="s">
        <v>478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t="s">
        <v>367</v>
      </c>
      <c r="B199" t="str">
        <f>"63281300"</f>
        <v>63281300</v>
      </c>
      <c r="C199" t="s">
        <v>1231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t="s">
        <v>367</v>
      </c>
      <c r="B200" t="str">
        <f>"63300100"</f>
        <v>63300100</v>
      </c>
      <c r="C200" t="s">
        <v>1232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367</v>
      </c>
      <c r="B201" t="str">
        <f>"63300200"</f>
        <v>63300200</v>
      </c>
      <c r="C201" t="s">
        <v>1233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367</v>
      </c>
      <c r="B202" t="str">
        <f>"63430000"</f>
        <v>63430000</v>
      </c>
      <c r="C202" t="s">
        <v>480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367</v>
      </c>
      <c r="B203" t="str">
        <f>"63451000"</f>
        <v>63451000</v>
      </c>
      <c r="C203" t="s">
        <v>1234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367</v>
      </c>
      <c r="B204" t="str">
        <f>"63711100"</f>
        <v>63711100</v>
      </c>
      <c r="C204" t="s">
        <v>1235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367</v>
      </c>
      <c r="B205" t="str">
        <f>"63810000"</f>
        <v>63810000</v>
      </c>
      <c r="C205" t="s">
        <v>1236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367</v>
      </c>
      <c r="B206" t="str">
        <f>"63811000"</f>
        <v>63811000</v>
      </c>
      <c r="C206" t="s">
        <v>1237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367</v>
      </c>
      <c r="B207" t="str">
        <f>"63821000"</f>
        <v>63821000</v>
      </c>
      <c r="C207" t="s">
        <v>1238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367</v>
      </c>
      <c r="B208" t="str">
        <f>"63831600"</f>
        <v>63831600</v>
      </c>
      <c r="C208" t="s">
        <v>1239</v>
      </c>
      <c r="D208">
        <v>0</v>
      </c>
      <c r="E208">
        <v>0</v>
      </c>
      <c r="F208">
        <v>0</v>
      </c>
      <c r="G208">
        <v>0</v>
      </c>
    </row>
    <row r="209" spans="1:7" x14ac:dyDescent="0.3">
      <c r="A209" t="s">
        <v>367</v>
      </c>
      <c r="B209" t="str">
        <f>"63831700"</f>
        <v>63831700</v>
      </c>
      <c r="C209" t="s">
        <v>1240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367</v>
      </c>
      <c r="B210" t="str">
        <f>"63841000"</f>
        <v>63841000</v>
      </c>
      <c r="C210" t="s">
        <v>1241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t="s">
        <v>428</v>
      </c>
      <c r="B211" t="str">
        <f>"63"</f>
        <v>63</v>
      </c>
      <c r="C211" t="s">
        <v>1242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367</v>
      </c>
      <c r="B212" t="str">
        <f>"64111000"</f>
        <v>64111000</v>
      </c>
      <c r="C212" t="s">
        <v>1243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367</v>
      </c>
      <c r="B213" t="str">
        <f>"64121000"</f>
        <v>64121000</v>
      </c>
      <c r="C213" t="s">
        <v>1244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367</v>
      </c>
      <c r="B214" t="str">
        <f>"64131000"</f>
        <v>64131000</v>
      </c>
      <c r="C214" t="s">
        <v>1245</v>
      </c>
      <c r="D214">
        <v>0</v>
      </c>
      <c r="E214">
        <v>0</v>
      </c>
      <c r="F214">
        <v>0</v>
      </c>
      <c r="G214">
        <v>0</v>
      </c>
    </row>
    <row r="215" spans="1:7" x14ac:dyDescent="0.3">
      <c r="A215" t="s">
        <v>367</v>
      </c>
      <c r="B215" t="str">
        <f>"64132000"</f>
        <v>64132000</v>
      </c>
      <c r="C215" t="s">
        <v>1246</v>
      </c>
      <c r="D215">
        <v>0</v>
      </c>
      <c r="E215">
        <v>0</v>
      </c>
      <c r="F215">
        <v>0</v>
      </c>
      <c r="G215">
        <v>0</v>
      </c>
    </row>
    <row r="216" spans="1:7" x14ac:dyDescent="0.3">
      <c r="A216" t="s">
        <v>367</v>
      </c>
      <c r="B216" t="str">
        <f>"64180000"</f>
        <v>64180000</v>
      </c>
      <c r="C216" t="s">
        <v>1247</v>
      </c>
      <c r="D216">
        <v>0</v>
      </c>
      <c r="E216">
        <v>0</v>
      </c>
      <c r="F216">
        <v>0</v>
      </c>
      <c r="G216">
        <v>0</v>
      </c>
    </row>
    <row r="217" spans="1:7" x14ac:dyDescent="0.3">
      <c r="A217" t="s">
        <v>367</v>
      </c>
      <c r="B217" t="str">
        <f>"64182000"</f>
        <v>64182000</v>
      </c>
      <c r="C217" t="s">
        <v>1248</v>
      </c>
      <c r="D217">
        <v>0</v>
      </c>
      <c r="E217">
        <v>0</v>
      </c>
      <c r="F217">
        <v>0</v>
      </c>
      <c r="G217">
        <v>0</v>
      </c>
    </row>
    <row r="218" spans="1:7" x14ac:dyDescent="0.3">
      <c r="A218" t="s">
        <v>367</v>
      </c>
      <c r="B218" t="str">
        <f>"64501100"</f>
        <v>64501100</v>
      </c>
      <c r="C218" t="s">
        <v>1249</v>
      </c>
      <c r="D218">
        <v>0</v>
      </c>
      <c r="E218">
        <v>0</v>
      </c>
      <c r="F218">
        <v>0</v>
      </c>
      <c r="G218">
        <v>0</v>
      </c>
    </row>
    <row r="219" spans="1:7" x14ac:dyDescent="0.3">
      <c r="A219" t="s">
        <v>367</v>
      </c>
      <c r="B219" t="str">
        <f>"64501200"</f>
        <v>64501200</v>
      </c>
      <c r="C219" t="s">
        <v>1109</v>
      </c>
      <c r="D219">
        <v>0</v>
      </c>
      <c r="E219">
        <v>0</v>
      </c>
      <c r="F219">
        <v>0</v>
      </c>
      <c r="G219">
        <v>0</v>
      </c>
    </row>
    <row r="220" spans="1:7" x14ac:dyDescent="0.3">
      <c r="A220" t="s">
        <v>367</v>
      </c>
      <c r="B220" t="str">
        <f>"64611000"</f>
        <v>64611000</v>
      </c>
      <c r="C220" t="s">
        <v>1250</v>
      </c>
      <c r="D220">
        <v>0</v>
      </c>
      <c r="E220">
        <v>0</v>
      </c>
      <c r="F220">
        <v>0</v>
      </c>
      <c r="G220">
        <v>0</v>
      </c>
    </row>
    <row r="221" spans="1:7" x14ac:dyDescent="0.3">
      <c r="A221" t="s">
        <v>367</v>
      </c>
      <c r="B221" t="str">
        <f>"64620000"</f>
        <v>64620000</v>
      </c>
      <c r="C221" t="s">
        <v>1251</v>
      </c>
      <c r="D221">
        <v>0</v>
      </c>
      <c r="E221">
        <v>0</v>
      </c>
      <c r="F221">
        <v>0</v>
      </c>
      <c r="G221">
        <v>0</v>
      </c>
    </row>
    <row r="222" spans="1:7" x14ac:dyDescent="0.3">
      <c r="A222" t="s">
        <v>367</v>
      </c>
      <c r="B222" t="str">
        <f>"64621000"</f>
        <v>64621000</v>
      </c>
      <c r="C222" t="s">
        <v>1252</v>
      </c>
      <c r="D222">
        <v>0</v>
      </c>
      <c r="E222">
        <v>0</v>
      </c>
      <c r="F222">
        <v>0</v>
      </c>
      <c r="G222">
        <v>0</v>
      </c>
    </row>
    <row r="223" spans="1:7" x14ac:dyDescent="0.3">
      <c r="A223" t="s">
        <v>367</v>
      </c>
      <c r="B223" t="str">
        <f>"64631000"</f>
        <v>64631000</v>
      </c>
      <c r="C223" t="s">
        <v>1253</v>
      </c>
      <c r="D223">
        <v>0</v>
      </c>
      <c r="E223">
        <v>0</v>
      </c>
      <c r="F223">
        <v>0</v>
      </c>
      <c r="G223">
        <v>0</v>
      </c>
    </row>
    <row r="224" spans="1:7" x14ac:dyDescent="0.3">
      <c r="A224" t="s">
        <v>367</v>
      </c>
      <c r="B224" t="str">
        <f>"64641000"</f>
        <v>64641000</v>
      </c>
      <c r="C224" t="s">
        <v>1254</v>
      </c>
      <c r="D224">
        <v>0</v>
      </c>
      <c r="E224">
        <v>0</v>
      </c>
      <c r="F224">
        <v>0</v>
      </c>
      <c r="G224">
        <v>0</v>
      </c>
    </row>
    <row r="225" spans="1:7" x14ac:dyDescent="0.3">
      <c r="A225" t="s">
        <v>367</v>
      </c>
      <c r="B225" t="str">
        <f>"64681000"</f>
        <v>64681000</v>
      </c>
      <c r="C225" t="s">
        <v>1255</v>
      </c>
      <c r="D225">
        <v>0</v>
      </c>
      <c r="E225">
        <v>0</v>
      </c>
      <c r="F225">
        <v>0</v>
      </c>
      <c r="G225">
        <v>0</v>
      </c>
    </row>
    <row r="226" spans="1:7" x14ac:dyDescent="0.3">
      <c r="A226" t="s">
        <v>367</v>
      </c>
      <c r="B226" t="str">
        <f>"64681100"</f>
        <v>64681100</v>
      </c>
      <c r="C226" t="s">
        <v>1256</v>
      </c>
      <c r="D226">
        <v>0</v>
      </c>
      <c r="E226">
        <v>0</v>
      </c>
      <c r="F226">
        <v>0</v>
      </c>
      <c r="G226">
        <v>0</v>
      </c>
    </row>
    <row r="227" spans="1:7" x14ac:dyDescent="0.3">
      <c r="A227" t="s">
        <v>367</v>
      </c>
      <c r="B227" t="str">
        <f>"64710000"</f>
        <v>64710000</v>
      </c>
      <c r="C227" t="s">
        <v>1257</v>
      </c>
      <c r="D227">
        <v>0</v>
      </c>
      <c r="E227">
        <v>0</v>
      </c>
      <c r="F227">
        <v>0</v>
      </c>
      <c r="G227">
        <v>0</v>
      </c>
    </row>
    <row r="228" spans="1:7" x14ac:dyDescent="0.3">
      <c r="A228" t="s">
        <v>367</v>
      </c>
      <c r="B228" t="str">
        <f>"64720000"</f>
        <v>64720000</v>
      </c>
      <c r="C228" t="s">
        <v>1258</v>
      </c>
      <c r="D228">
        <v>0</v>
      </c>
      <c r="E228">
        <v>0</v>
      </c>
      <c r="F228">
        <v>0</v>
      </c>
      <c r="G228">
        <v>0</v>
      </c>
    </row>
    <row r="229" spans="1:7" x14ac:dyDescent="0.3">
      <c r="A229" t="s">
        <v>367</v>
      </c>
      <c r="B229" t="str">
        <f>"64730000"</f>
        <v>64730000</v>
      </c>
      <c r="C229" t="s">
        <v>1259</v>
      </c>
      <c r="D229">
        <v>0</v>
      </c>
      <c r="E229">
        <v>0</v>
      </c>
      <c r="F229">
        <v>0</v>
      </c>
      <c r="G229">
        <v>0</v>
      </c>
    </row>
    <row r="230" spans="1:7" x14ac:dyDescent="0.3">
      <c r="A230" t="s">
        <v>367</v>
      </c>
      <c r="B230" t="str">
        <f>"64740000"</f>
        <v>64740000</v>
      </c>
      <c r="C230" t="s">
        <v>1260</v>
      </c>
      <c r="D230">
        <v>0</v>
      </c>
      <c r="E230">
        <v>0</v>
      </c>
      <c r="F230">
        <v>0</v>
      </c>
      <c r="G230">
        <v>0</v>
      </c>
    </row>
    <row r="231" spans="1:7" x14ac:dyDescent="0.3">
      <c r="A231" t="s">
        <v>367</v>
      </c>
      <c r="B231" t="str">
        <f>"64781000"</f>
        <v>64781000</v>
      </c>
      <c r="C231" t="s">
        <v>1261</v>
      </c>
      <c r="D231">
        <v>0</v>
      </c>
      <c r="E231">
        <v>0</v>
      </c>
      <c r="F231">
        <v>0</v>
      </c>
      <c r="G231">
        <v>0</v>
      </c>
    </row>
    <row r="232" spans="1:7" x14ac:dyDescent="0.3">
      <c r="A232" t="s">
        <v>367</v>
      </c>
      <c r="B232" t="str">
        <f>"64800000"</f>
        <v>64800000</v>
      </c>
      <c r="C232" t="s">
        <v>1262</v>
      </c>
      <c r="D232">
        <v>0</v>
      </c>
      <c r="E232">
        <v>0</v>
      </c>
      <c r="F232">
        <v>0</v>
      </c>
      <c r="G232">
        <v>0</v>
      </c>
    </row>
    <row r="233" spans="1:7" x14ac:dyDescent="0.3">
      <c r="A233" t="s">
        <v>428</v>
      </c>
      <c r="B233" t="str">
        <f>"64"</f>
        <v>64</v>
      </c>
      <c r="C233" t="s">
        <v>1263</v>
      </c>
      <c r="D233">
        <v>0</v>
      </c>
      <c r="E233">
        <v>0</v>
      </c>
      <c r="F233">
        <v>0</v>
      </c>
      <c r="G233">
        <v>0</v>
      </c>
    </row>
    <row r="234" spans="1:7" x14ac:dyDescent="0.3">
      <c r="A234" t="s">
        <v>367</v>
      </c>
      <c r="B234" t="str">
        <f>"65100000"</f>
        <v>65100000</v>
      </c>
      <c r="C234" t="s">
        <v>1264</v>
      </c>
      <c r="D234">
        <v>0</v>
      </c>
      <c r="E234">
        <v>0</v>
      </c>
      <c r="F234">
        <v>0</v>
      </c>
      <c r="G234">
        <v>0</v>
      </c>
    </row>
    <row r="235" spans="1:7" x14ac:dyDescent="0.3">
      <c r="A235" t="s">
        <v>367</v>
      </c>
      <c r="B235" t="str">
        <f>"65410000"</f>
        <v>65410000</v>
      </c>
      <c r="C235" t="s">
        <v>1265</v>
      </c>
      <c r="D235">
        <v>0</v>
      </c>
      <c r="E235">
        <v>0</v>
      </c>
      <c r="F235">
        <v>0</v>
      </c>
      <c r="G235">
        <v>0</v>
      </c>
    </row>
    <row r="236" spans="1:7" x14ac:dyDescent="0.3">
      <c r="A236" t="s">
        <v>367</v>
      </c>
      <c r="B236" t="str">
        <f>"65600000"</f>
        <v>65600000</v>
      </c>
      <c r="C236" t="s">
        <v>1266</v>
      </c>
      <c r="D236">
        <v>0</v>
      </c>
      <c r="E236">
        <v>0</v>
      </c>
      <c r="F236">
        <v>0</v>
      </c>
      <c r="G236">
        <v>0</v>
      </c>
    </row>
    <row r="237" spans="1:7" x14ac:dyDescent="0.3">
      <c r="A237" t="s">
        <v>367</v>
      </c>
      <c r="B237" t="str">
        <f>"65610000"</f>
        <v>65610000</v>
      </c>
      <c r="C237" t="s">
        <v>1267</v>
      </c>
      <c r="D237">
        <v>0</v>
      </c>
      <c r="E237">
        <v>0</v>
      </c>
      <c r="F237">
        <v>0</v>
      </c>
      <c r="G237">
        <v>0</v>
      </c>
    </row>
    <row r="238" spans="1:7" x14ac:dyDescent="0.3">
      <c r="A238" t="s">
        <v>367</v>
      </c>
      <c r="B238" t="str">
        <f>"65700000"</f>
        <v>65700000</v>
      </c>
      <c r="C238" t="s">
        <v>1268</v>
      </c>
      <c r="D238">
        <v>0</v>
      </c>
      <c r="E238">
        <v>0</v>
      </c>
      <c r="F238">
        <v>0</v>
      </c>
      <c r="G238">
        <v>0</v>
      </c>
    </row>
    <row r="239" spans="1:7" x14ac:dyDescent="0.3">
      <c r="A239" t="s">
        <v>367</v>
      </c>
      <c r="B239" t="str">
        <f>"65811000"</f>
        <v>65811000</v>
      </c>
      <c r="C239" t="s">
        <v>1269</v>
      </c>
      <c r="D239">
        <v>0</v>
      </c>
      <c r="E239">
        <v>0</v>
      </c>
      <c r="F239">
        <v>0</v>
      </c>
      <c r="G239">
        <v>0</v>
      </c>
    </row>
    <row r="240" spans="1:7" x14ac:dyDescent="0.3">
      <c r="A240" t="s">
        <v>367</v>
      </c>
      <c r="B240" t="str">
        <f>"65821000"</f>
        <v>65821000</v>
      </c>
      <c r="C240" t="s">
        <v>1270</v>
      </c>
      <c r="D240">
        <v>0</v>
      </c>
      <c r="E240">
        <v>0</v>
      </c>
      <c r="F240">
        <v>0</v>
      </c>
      <c r="G240">
        <v>0</v>
      </c>
    </row>
    <row r="241" spans="1:7" x14ac:dyDescent="0.3">
      <c r="A241" t="s">
        <v>367</v>
      </c>
      <c r="B241" t="str">
        <f>"65840000"</f>
        <v>65840000</v>
      </c>
      <c r="C241" t="s">
        <v>1271</v>
      </c>
      <c r="D241">
        <v>0</v>
      </c>
      <c r="E241">
        <v>0</v>
      </c>
      <c r="F241">
        <v>0</v>
      </c>
      <c r="G241">
        <v>0</v>
      </c>
    </row>
    <row r="242" spans="1:7" x14ac:dyDescent="0.3">
      <c r="A242" t="s">
        <v>367</v>
      </c>
      <c r="B242" t="str">
        <f>"65880000"</f>
        <v>65880000</v>
      </c>
      <c r="C242" t="s">
        <v>1272</v>
      </c>
      <c r="D242">
        <v>0</v>
      </c>
      <c r="E242">
        <v>0</v>
      </c>
      <c r="F242">
        <v>0</v>
      </c>
      <c r="G242">
        <v>0</v>
      </c>
    </row>
    <row r="243" spans="1:7" x14ac:dyDescent="0.3">
      <c r="A243" t="s">
        <v>367</v>
      </c>
      <c r="B243" t="str">
        <f>"65981000"</f>
        <v>65981000</v>
      </c>
      <c r="C243" t="s">
        <v>1273</v>
      </c>
      <c r="D243">
        <v>0</v>
      </c>
      <c r="E243">
        <v>0</v>
      </c>
      <c r="F243">
        <v>0</v>
      </c>
      <c r="G243">
        <v>0</v>
      </c>
    </row>
    <row r="244" spans="1:7" x14ac:dyDescent="0.3">
      <c r="A244" t="s">
        <v>367</v>
      </c>
      <c r="B244" t="str">
        <f>"66111000"</f>
        <v>66111000</v>
      </c>
      <c r="C244" t="s">
        <v>1274</v>
      </c>
      <c r="D244">
        <v>0</v>
      </c>
      <c r="E244">
        <v>0</v>
      </c>
      <c r="F244">
        <v>0</v>
      </c>
      <c r="G244">
        <v>0</v>
      </c>
    </row>
    <row r="245" spans="1:7" x14ac:dyDescent="0.3">
      <c r="A245" t="s">
        <v>367</v>
      </c>
      <c r="B245" t="str">
        <f>"66112000"</f>
        <v>66112000</v>
      </c>
      <c r="C245" t="s">
        <v>1275</v>
      </c>
      <c r="D245">
        <v>0</v>
      </c>
      <c r="E245">
        <v>0</v>
      </c>
      <c r="F245">
        <v>0</v>
      </c>
      <c r="G245">
        <v>0</v>
      </c>
    </row>
    <row r="246" spans="1:7" x14ac:dyDescent="0.3">
      <c r="A246" t="s">
        <v>367</v>
      </c>
      <c r="B246" t="str">
        <f>"66113000"</f>
        <v>66113000</v>
      </c>
      <c r="C246" t="s">
        <v>1276</v>
      </c>
      <c r="D246">
        <v>0</v>
      </c>
      <c r="E246">
        <v>0</v>
      </c>
      <c r="F246">
        <v>0</v>
      </c>
      <c r="G246">
        <v>0</v>
      </c>
    </row>
    <row r="247" spans="1:7" x14ac:dyDescent="0.3">
      <c r="A247" t="s">
        <v>367</v>
      </c>
      <c r="B247" t="str">
        <f>"66114000"</f>
        <v>66114000</v>
      </c>
      <c r="C247" t="s">
        <v>1277</v>
      </c>
      <c r="D247">
        <v>0</v>
      </c>
      <c r="E247">
        <v>0</v>
      </c>
      <c r="F247">
        <v>0</v>
      </c>
      <c r="G247">
        <v>0</v>
      </c>
    </row>
    <row r="248" spans="1:7" x14ac:dyDescent="0.3">
      <c r="A248" t="s">
        <v>367</v>
      </c>
      <c r="B248" t="str">
        <f>"66121000"</f>
        <v>66121000</v>
      </c>
      <c r="C248" t="s">
        <v>1278</v>
      </c>
      <c r="D248">
        <v>0</v>
      </c>
      <c r="E248">
        <v>0</v>
      </c>
      <c r="F248">
        <v>0</v>
      </c>
      <c r="G248">
        <v>0</v>
      </c>
    </row>
    <row r="249" spans="1:7" x14ac:dyDescent="0.3">
      <c r="A249" t="s">
        <v>367</v>
      </c>
      <c r="B249" t="str">
        <f>"66122000"</f>
        <v>66122000</v>
      </c>
      <c r="C249" t="s">
        <v>1279</v>
      </c>
      <c r="D249">
        <v>0</v>
      </c>
      <c r="E249">
        <v>0</v>
      </c>
      <c r="F249">
        <v>0</v>
      </c>
      <c r="G249">
        <v>0</v>
      </c>
    </row>
    <row r="250" spans="1:7" x14ac:dyDescent="0.3">
      <c r="A250" t="s">
        <v>367</v>
      </c>
      <c r="B250" t="str">
        <f>"66131000"</f>
        <v>66131000</v>
      </c>
      <c r="C250" t="s">
        <v>507</v>
      </c>
      <c r="D250">
        <v>0</v>
      </c>
      <c r="E250">
        <v>0</v>
      </c>
      <c r="F250">
        <v>0</v>
      </c>
      <c r="G250">
        <v>0</v>
      </c>
    </row>
    <row r="251" spans="1:7" x14ac:dyDescent="0.3">
      <c r="A251" t="s">
        <v>367</v>
      </c>
      <c r="B251" t="str">
        <f>"66132000"</f>
        <v>66132000</v>
      </c>
      <c r="C251" t="s">
        <v>506</v>
      </c>
      <c r="D251">
        <v>0</v>
      </c>
      <c r="E251">
        <v>0</v>
      </c>
      <c r="F251">
        <v>0</v>
      </c>
      <c r="G251">
        <v>0</v>
      </c>
    </row>
    <row r="252" spans="1:7" x14ac:dyDescent="0.3">
      <c r="A252" t="s">
        <v>367</v>
      </c>
      <c r="B252" t="str">
        <f>"66141000"</f>
        <v>66141000</v>
      </c>
      <c r="C252" t="s">
        <v>1280</v>
      </c>
      <c r="D252">
        <v>0</v>
      </c>
      <c r="E252">
        <v>0</v>
      </c>
      <c r="F252">
        <v>0</v>
      </c>
      <c r="G252">
        <v>0</v>
      </c>
    </row>
    <row r="253" spans="1:7" x14ac:dyDescent="0.3">
      <c r="A253" t="s">
        <v>367</v>
      </c>
      <c r="B253" t="str">
        <f>"66142000"</f>
        <v>66142000</v>
      </c>
      <c r="C253" t="s">
        <v>1281</v>
      </c>
      <c r="D253">
        <v>0</v>
      </c>
      <c r="E253">
        <v>0</v>
      </c>
      <c r="F253">
        <v>0</v>
      </c>
      <c r="G253">
        <v>0</v>
      </c>
    </row>
    <row r="254" spans="1:7" x14ac:dyDescent="0.3">
      <c r="A254" t="s">
        <v>367</v>
      </c>
      <c r="B254" t="str">
        <f>"66181000"</f>
        <v>66181000</v>
      </c>
      <c r="C254" t="s">
        <v>1282</v>
      </c>
      <c r="D254">
        <v>0</v>
      </c>
      <c r="E254">
        <v>0</v>
      </c>
      <c r="F254">
        <v>0</v>
      </c>
      <c r="G254">
        <v>0</v>
      </c>
    </row>
    <row r="255" spans="1:7" x14ac:dyDescent="0.3">
      <c r="A255" t="s">
        <v>367</v>
      </c>
      <c r="B255" t="str">
        <f>"66182000"</f>
        <v>66182000</v>
      </c>
      <c r="C255" t="s">
        <v>1283</v>
      </c>
      <c r="D255">
        <v>0</v>
      </c>
      <c r="E255">
        <v>0</v>
      </c>
      <c r="F255">
        <v>0</v>
      </c>
      <c r="G255">
        <v>0</v>
      </c>
    </row>
    <row r="256" spans="1:7" x14ac:dyDescent="0.3">
      <c r="A256" t="s">
        <v>367</v>
      </c>
      <c r="B256" t="str">
        <f>"66182100"</f>
        <v>66182100</v>
      </c>
      <c r="C256" t="s">
        <v>1284</v>
      </c>
      <c r="D256">
        <v>0</v>
      </c>
      <c r="E256">
        <v>0</v>
      </c>
      <c r="F256">
        <v>0</v>
      </c>
      <c r="G256">
        <v>0</v>
      </c>
    </row>
    <row r="257" spans="1:7" x14ac:dyDescent="0.3">
      <c r="A257" t="s">
        <v>367</v>
      </c>
      <c r="B257" t="str">
        <f>"66182200"</f>
        <v>66182200</v>
      </c>
      <c r="C257" t="s">
        <v>1285</v>
      </c>
      <c r="D257">
        <v>0</v>
      </c>
      <c r="E257">
        <v>0</v>
      </c>
      <c r="F257">
        <v>0</v>
      </c>
      <c r="G257">
        <v>0</v>
      </c>
    </row>
    <row r="258" spans="1:7" x14ac:dyDescent="0.3">
      <c r="A258" t="s">
        <v>367</v>
      </c>
      <c r="B258" t="str">
        <f>"66182300"</f>
        <v>66182300</v>
      </c>
      <c r="C258" t="s">
        <v>1286</v>
      </c>
      <c r="D258">
        <v>0</v>
      </c>
      <c r="E258">
        <v>0</v>
      </c>
      <c r="F258">
        <v>0</v>
      </c>
      <c r="G258">
        <v>0</v>
      </c>
    </row>
    <row r="259" spans="1:7" x14ac:dyDescent="0.3">
      <c r="A259" t="s">
        <v>367</v>
      </c>
      <c r="B259" t="str">
        <f>"66183100"</f>
        <v>66183100</v>
      </c>
      <c r="C259" t="s">
        <v>1287</v>
      </c>
      <c r="D259">
        <v>0</v>
      </c>
      <c r="E259">
        <v>0</v>
      </c>
      <c r="F259">
        <v>0</v>
      </c>
      <c r="G259">
        <v>0</v>
      </c>
    </row>
    <row r="260" spans="1:7" x14ac:dyDescent="0.3">
      <c r="A260" t="s">
        <v>367</v>
      </c>
      <c r="B260" t="str">
        <f>"66311000"</f>
        <v>66311000</v>
      </c>
      <c r="C260" t="s">
        <v>1288</v>
      </c>
      <c r="D260">
        <v>0</v>
      </c>
      <c r="E260">
        <v>0</v>
      </c>
      <c r="F260">
        <v>0</v>
      </c>
      <c r="G260">
        <v>0</v>
      </c>
    </row>
    <row r="261" spans="1:7" x14ac:dyDescent="0.3">
      <c r="A261" t="s">
        <v>367</v>
      </c>
      <c r="B261" t="str">
        <f>"66312000"</f>
        <v>66312000</v>
      </c>
      <c r="C261" t="s">
        <v>1289</v>
      </c>
      <c r="D261">
        <v>0</v>
      </c>
      <c r="E261">
        <v>0</v>
      </c>
      <c r="F261">
        <v>0</v>
      </c>
      <c r="G261">
        <v>0</v>
      </c>
    </row>
    <row r="262" spans="1:7" x14ac:dyDescent="0.3">
      <c r="A262" t="s">
        <v>367</v>
      </c>
      <c r="B262" t="str">
        <f>"66321000"</f>
        <v>66321000</v>
      </c>
      <c r="C262" t="s">
        <v>1290</v>
      </c>
      <c r="D262">
        <v>0</v>
      </c>
      <c r="E262">
        <v>0</v>
      </c>
      <c r="F262">
        <v>0</v>
      </c>
      <c r="G262">
        <v>0</v>
      </c>
    </row>
    <row r="263" spans="1:7" x14ac:dyDescent="0.3">
      <c r="A263" t="s">
        <v>367</v>
      </c>
      <c r="B263" t="str">
        <f>"66322000"</f>
        <v>66322000</v>
      </c>
      <c r="C263" t="s">
        <v>1291</v>
      </c>
      <c r="D263">
        <v>0</v>
      </c>
      <c r="E263">
        <v>0</v>
      </c>
      <c r="F263">
        <v>0</v>
      </c>
      <c r="G263">
        <v>0</v>
      </c>
    </row>
    <row r="264" spans="1:7" x14ac:dyDescent="0.3">
      <c r="A264" t="s">
        <v>367</v>
      </c>
      <c r="B264" t="str">
        <f>"66341000"</f>
        <v>66341000</v>
      </c>
      <c r="C264" t="s">
        <v>1292</v>
      </c>
      <c r="D264">
        <v>0</v>
      </c>
      <c r="E264">
        <v>0</v>
      </c>
      <c r="F264">
        <v>0</v>
      </c>
      <c r="G264">
        <v>0</v>
      </c>
    </row>
    <row r="265" spans="1:7" x14ac:dyDescent="0.3">
      <c r="A265" t="s">
        <v>367</v>
      </c>
      <c r="B265" t="str">
        <f>"66342000"</f>
        <v>66342000</v>
      </c>
      <c r="C265" t="s">
        <v>1293</v>
      </c>
      <c r="D265">
        <v>0</v>
      </c>
      <c r="E265">
        <v>0</v>
      </c>
      <c r="F265">
        <v>0</v>
      </c>
      <c r="G265">
        <v>0</v>
      </c>
    </row>
    <row r="266" spans="1:7" x14ac:dyDescent="0.3">
      <c r="A266" t="s">
        <v>367</v>
      </c>
      <c r="B266" t="str">
        <f>"66381000"</f>
        <v>66381000</v>
      </c>
      <c r="C266" t="s">
        <v>1294</v>
      </c>
      <c r="D266">
        <v>0</v>
      </c>
      <c r="E266">
        <v>0</v>
      </c>
      <c r="F266">
        <v>0</v>
      </c>
      <c r="G266">
        <v>0</v>
      </c>
    </row>
    <row r="267" spans="1:7" x14ac:dyDescent="0.3">
      <c r="A267" t="s">
        <v>367</v>
      </c>
      <c r="B267" t="str">
        <f>"66382000"</f>
        <v>66382000</v>
      </c>
      <c r="C267" t="s">
        <v>517</v>
      </c>
      <c r="D267">
        <v>0</v>
      </c>
      <c r="E267">
        <v>0</v>
      </c>
      <c r="F267">
        <v>0</v>
      </c>
      <c r="G267">
        <v>0</v>
      </c>
    </row>
    <row r="268" spans="1:7" x14ac:dyDescent="0.3">
      <c r="A268" t="s">
        <v>367</v>
      </c>
      <c r="B268" t="str">
        <f>"66383000"</f>
        <v>66383000</v>
      </c>
      <c r="C268" t="s">
        <v>1295</v>
      </c>
      <c r="D268">
        <v>0</v>
      </c>
      <c r="E268">
        <v>0</v>
      </c>
      <c r="F268">
        <v>0</v>
      </c>
      <c r="G268">
        <v>0</v>
      </c>
    </row>
    <row r="269" spans="1:7" x14ac:dyDescent="0.3">
      <c r="A269" t="s">
        <v>367</v>
      </c>
      <c r="B269" t="str">
        <f>"66384000"</f>
        <v>66384000</v>
      </c>
      <c r="C269" t="s">
        <v>1296</v>
      </c>
      <c r="D269">
        <v>0</v>
      </c>
      <c r="E269">
        <v>0</v>
      </c>
      <c r="F269">
        <v>0</v>
      </c>
      <c r="G269">
        <v>0</v>
      </c>
    </row>
    <row r="270" spans="1:7" x14ac:dyDescent="0.3">
      <c r="A270" t="s">
        <v>367</v>
      </c>
      <c r="B270" t="str">
        <f>"66411000"</f>
        <v>66411000</v>
      </c>
      <c r="C270" t="s">
        <v>1297</v>
      </c>
      <c r="D270">
        <v>0</v>
      </c>
      <c r="E270">
        <v>0</v>
      </c>
      <c r="F270">
        <v>0</v>
      </c>
      <c r="G270">
        <v>0</v>
      </c>
    </row>
    <row r="271" spans="1:7" x14ac:dyDescent="0.3">
      <c r="A271" t="s">
        <v>367</v>
      </c>
      <c r="B271" t="str">
        <f>"66412000"</f>
        <v>66412000</v>
      </c>
      <c r="C271" t="s">
        <v>1298</v>
      </c>
      <c r="D271">
        <v>0</v>
      </c>
      <c r="E271">
        <v>0</v>
      </c>
      <c r="F271">
        <v>0</v>
      </c>
      <c r="G271">
        <v>0</v>
      </c>
    </row>
    <row r="272" spans="1:7" x14ac:dyDescent="0.3">
      <c r="A272" t="s">
        <v>367</v>
      </c>
      <c r="B272" t="str">
        <f>"66711000"</f>
        <v>66711000</v>
      </c>
      <c r="C272" t="s">
        <v>1299</v>
      </c>
      <c r="D272">
        <v>0</v>
      </c>
      <c r="E272">
        <v>0</v>
      </c>
      <c r="F272">
        <v>0</v>
      </c>
      <c r="G272">
        <v>0</v>
      </c>
    </row>
    <row r="273" spans="1:7" x14ac:dyDescent="0.3">
      <c r="A273" t="s">
        <v>367</v>
      </c>
      <c r="B273" t="str">
        <f>"66712000"</f>
        <v>66712000</v>
      </c>
      <c r="C273" t="s">
        <v>1300</v>
      </c>
      <c r="D273">
        <v>0</v>
      </c>
      <c r="E273">
        <v>0</v>
      </c>
      <c r="F273">
        <v>0</v>
      </c>
      <c r="G273">
        <v>0</v>
      </c>
    </row>
    <row r="274" spans="1:7" x14ac:dyDescent="0.3">
      <c r="A274" t="s">
        <v>367</v>
      </c>
      <c r="B274" t="str">
        <f>"66830100"</f>
        <v>66830100</v>
      </c>
      <c r="C274" t="s">
        <v>1301</v>
      </c>
      <c r="D274">
        <v>0</v>
      </c>
      <c r="E274">
        <v>0</v>
      </c>
      <c r="F274">
        <v>0</v>
      </c>
      <c r="G274">
        <v>0</v>
      </c>
    </row>
    <row r="275" spans="1:7" x14ac:dyDescent="0.3">
      <c r="A275" t="s">
        <v>367</v>
      </c>
      <c r="B275" t="str">
        <f>"66830200"</f>
        <v>66830200</v>
      </c>
      <c r="C275" t="s">
        <v>1302</v>
      </c>
      <c r="D275">
        <v>0</v>
      </c>
      <c r="E275">
        <v>0</v>
      </c>
      <c r="F275">
        <v>0</v>
      </c>
      <c r="G275">
        <v>0</v>
      </c>
    </row>
    <row r="276" spans="1:7" x14ac:dyDescent="0.3">
      <c r="A276" t="s">
        <v>367</v>
      </c>
      <c r="B276" t="str">
        <f>"66841000"</f>
        <v>66841000</v>
      </c>
      <c r="C276" t="s">
        <v>1303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 t="s">
        <v>367</v>
      </c>
      <c r="B277" t="str">
        <f>"66842000"</f>
        <v>66842000</v>
      </c>
      <c r="C277" t="s">
        <v>1304</v>
      </c>
      <c r="D277">
        <v>0</v>
      </c>
      <c r="E277">
        <v>0</v>
      </c>
      <c r="F277">
        <v>0</v>
      </c>
      <c r="G277">
        <v>0</v>
      </c>
    </row>
    <row r="278" spans="1:7" x14ac:dyDescent="0.3">
      <c r="A278" t="s">
        <v>367</v>
      </c>
      <c r="B278" t="str">
        <f>"66851000"</f>
        <v>66851000</v>
      </c>
      <c r="C278" t="s">
        <v>1305</v>
      </c>
      <c r="D278">
        <v>0</v>
      </c>
      <c r="E278">
        <v>0</v>
      </c>
      <c r="F278">
        <v>0</v>
      </c>
      <c r="G278">
        <v>0</v>
      </c>
    </row>
    <row r="279" spans="1:7" x14ac:dyDescent="0.3">
      <c r="A279" t="s">
        <v>367</v>
      </c>
      <c r="B279" t="str">
        <f>"66852000"</f>
        <v>66852000</v>
      </c>
      <c r="C279" t="s">
        <v>1306</v>
      </c>
      <c r="D279">
        <v>0</v>
      </c>
      <c r="E279">
        <v>0</v>
      </c>
      <c r="F279">
        <v>0</v>
      </c>
      <c r="G279">
        <v>0</v>
      </c>
    </row>
    <row r="280" spans="1:7" x14ac:dyDescent="0.3">
      <c r="A280" t="s">
        <v>428</v>
      </c>
      <c r="B280" t="str">
        <f>"66"</f>
        <v>66</v>
      </c>
      <c r="C280" t="s">
        <v>1307</v>
      </c>
      <c r="D280">
        <v>0</v>
      </c>
      <c r="E280">
        <v>0</v>
      </c>
      <c r="F280">
        <v>0</v>
      </c>
      <c r="G280">
        <v>0</v>
      </c>
    </row>
    <row r="281" spans="1:7" x14ac:dyDescent="0.3">
      <c r="A281" t="s">
        <v>367</v>
      </c>
      <c r="B281" t="str">
        <f>"67220000"</f>
        <v>67220000</v>
      </c>
      <c r="C281" t="s">
        <v>1308</v>
      </c>
      <c r="D281">
        <v>0</v>
      </c>
      <c r="E281">
        <v>0</v>
      </c>
      <c r="F281">
        <v>0</v>
      </c>
      <c r="G281">
        <v>0</v>
      </c>
    </row>
    <row r="282" spans="1:7" x14ac:dyDescent="0.3">
      <c r="A282" t="s">
        <v>367</v>
      </c>
      <c r="B282" t="str">
        <f>"67600000"</f>
        <v>67600000</v>
      </c>
      <c r="C282" t="s">
        <v>1309</v>
      </c>
      <c r="D282">
        <v>0</v>
      </c>
      <c r="E282">
        <v>0</v>
      </c>
      <c r="F282">
        <v>0</v>
      </c>
      <c r="G282">
        <v>0</v>
      </c>
    </row>
    <row r="283" spans="1:7" x14ac:dyDescent="0.3">
      <c r="A283" t="s">
        <v>367</v>
      </c>
      <c r="B283" t="str">
        <f>"67820000"</f>
        <v>67820000</v>
      </c>
      <c r="C283" t="s">
        <v>1310</v>
      </c>
      <c r="D283">
        <v>0</v>
      </c>
      <c r="E283">
        <v>0</v>
      </c>
      <c r="F283">
        <v>0</v>
      </c>
      <c r="G283">
        <v>0</v>
      </c>
    </row>
    <row r="284" spans="1:7" x14ac:dyDescent="0.3">
      <c r="A284" t="s">
        <v>367</v>
      </c>
      <c r="B284" t="str">
        <f>"68120000"</f>
        <v>68120000</v>
      </c>
      <c r="C284" t="s">
        <v>1311</v>
      </c>
      <c r="D284">
        <v>0</v>
      </c>
      <c r="E284">
        <v>0</v>
      </c>
      <c r="F284">
        <v>0</v>
      </c>
      <c r="G284">
        <v>0</v>
      </c>
    </row>
    <row r="285" spans="1:7" x14ac:dyDescent="0.3">
      <c r="A285" t="s">
        <v>367</v>
      </c>
      <c r="B285" t="str">
        <f>"68130000"</f>
        <v>68130000</v>
      </c>
      <c r="C285" t="s">
        <v>1312</v>
      </c>
      <c r="D285">
        <v>0</v>
      </c>
      <c r="E285">
        <v>0</v>
      </c>
      <c r="F285">
        <v>0</v>
      </c>
      <c r="G285">
        <v>0</v>
      </c>
    </row>
    <row r="286" spans="1:7" x14ac:dyDescent="0.3">
      <c r="A286" t="s">
        <v>428</v>
      </c>
      <c r="B286" t="str">
        <f>"6"</f>
        <v>6</v>
      </c>
      <c r="C286" t="s">
        <v>429</v>
      </c>
      <c r="D286">
        <v>0</v>
      </c>
      <c r="E286">
        <v>0</v>
      </c>
      <c r="F286">
        <v>0</v>
      </c>
      <c r="G286">
        <v>0</v>
      </c>
    </row>
    <row r="287" spans="1:7" x14ac:dyDescent="0.3">
      <c r="A287" t="s">
        <v>367</v>
      </c>
      <c r="B287" t="str">
        <f>"70600000"</f>
        <v>70600000</v>
      </c>
      <c r="C287" t="s">
        <v>1313</v>
      </c>
      <c r="D287">
        <v>0</v>
      </c>
      <c r="E287">
        <v>0</v>
      </c>
      <c r="F287">
        <v>0</v>
      </c>
      <c r="G287">
        <v>0</v>
      </c>
    </row>
    <row r="288" spans="1:7" x14ac:dyDescent="0.3">
      <c r="A288" t="s">
        <v>367</v>
      </c>
      <c r="B288" t="str">
        <f>"70601000"</f>
        <v>70601000</v>
      </c>
      <c r="C288" t="s">
        <v>1314</v>
      </c>
      <c r="D288">
        <v>0</v>
      </c>
      <c r="E288">
        <v>0</v>
      </c>
      <c r="F288">
        <v>0</v>
      </c>
      <c r="G288">
        <v>0</v>
      </c>
    </row>
    <row r="289" spans="1:7" x14ac:dyDescent="0.3">
      <c r="A289" t="s">
        <v>367</v>
      </c>
      <c r="B289" t="str">
        <f>"70601001"</f>
        <v>70601001</v>
      </c>
      <c r="C289" t="s">
        <v>533</v>
      </c>
      <c r="D289">
        <v>0</v>
      </c>
      <c r="E289">
        <v>0</v>
      </c>
      <c r="F289">
        <v>0</v>
      </c>
      <c r="G289">
        <v>0</v>
      </c>
    </row>
    <row r="290" spans="1:7" x14ac:dyDescent="0.3">
      <c r="A290" t="s">
        <v>367</v>
      </c>
      <c r="B290" t="str">
        <f>"70602000"</f>
        <v>70602000</v>
      </c>
      <c r="C290" t="s">
        <v>534</v>
      </c>
      <c r="D290">
        <v>0</v>
      </c>
      <c r="E290">
        <v>0</v>
      </c>
      <c r="F290">
        <v>0</v>
      </c>
      <c r="G290">
        <v>0</v>
      </c>
    </row>
    <row r="291" spans="1:7" x14ac:dyDescent="0.3">
      <c r="A291" t="s">
        <v>367</v>
      </c>
      <c r="B291" t="str">
        <f>"70603000"</f>
        <v>70603000</v>
      </c>
      <c r="C291" t="s">
        <v>1315</v>
      </c>
      <c r="D291">
        <v>0</v>
      </c>
      <c r="E291">
        <v>0</v>
      </c>
      <c r="F291">
        <v>0</v>
      </c>
      <c r="G291">
        <v>0</v>
      </c>
    </row>
    <row r="292" spans="1:7" x14ac:dyDescent="0.3">
      <c r="A292" t="s">
        <v>367</v>
      </c>
      <c r="B292" t="str">
        <f>"70604000"</f>
        <v>70604000</v>
      </c>
      <c r="C292" t="s">
        <v>1316</v>
      </c>
      <c r="D292">
        <v>0</v>
      </c>
      <c r="E292">
        <v>0</v>
      </c>
      <c r="F292">
        <v>0</v>
      </c>
      <c r="G292">
        <v>0</v>
      </c>
    </row>
    <row r="293" spans="1:7" x14ac:dyDescent="0.3">
      <c r="A293" t="s">
        <v>367</v>
      </c>
      <c r="B293" t="str">
        <f>"70605000"</f>
        <v>70605000</v>
      </c>
      <c r="C293" t="s">
        <v>537</v>
      </c>
      <c r="D293">
        <v>0</v>
      </c>
      <c r="E293">
        <v>0</v>
      </c>
      <c r="F293">
        <v>0</v>
      </c>
      <c r="G293">
        <v>0</v>
      </c>
    </row>
    <row r="294" spans="1:7" x14ac:dyDescent="0.3">
      <c r="A294" t="s">
        <v>367</v>
      </c>
      <c r="B294" t="str">
        <f>"70606000"</f>
        <v>70606000</v>
      </c>
      <c r="C294" t="s">
        <v>1317</v>
      </c>
      <c r="D294">
        <v>0</v>
      </c>
      <c r="E294">
        <v>0</v>
      </c>
      <c r="F294">
        <v>0</v>
      </c>
      <c r="G294">
        <v>0</v>
      </c>
    </row>
    <row r="295" spans="1:7" x14ac:dyDescent="0.3">
      <c r="A295" t="s">
        <v>367</v>
      </c>
      <c r="B295" t="str">
        <f>"70607000"</f>
        <v>70607000</v>
      </c>
      <c r="C295" t="s">
        <v>539</v>
      </c>
      <c r="D295">
        <v>0</v>
      </c>
      <c r="E295">
        <v>0</v>
      </c>
      <c r="F295">
        <v>0</v>
      </c>
      <c r="G295">
        <v>0</v>
      </c>
    </row>
    <row r="296" spans="1:7" x14ac:dyDescent="0.3">
      <c r="A296" t="s">
        <v>367</v>
      </c>
      <c r="B296" t="str">
        <f>"70608000"</f>
        <v>70608000</v>
      </c>
      <c r="C296" t="s">
        <v>538</v>
      </c>
      <c r="D296">
        <v>0</v>
      </c>
      <c r="E296">
        <v>0</v>
      </c>
      <c r="F296">
        <v>0</v>
      </c>
      <c r="G296">
        <v>0</v>
      </c>
    </row>
    <row r="297" spans="1:7" x14ac:dyDescent="0.3">
      <c r="A297" t="s">
        <v>367</v>
      </c>
      <c r="B297" t="str">
        <f>"70609000"</f>
        <v>70609000</v>
      </c>
      <c r="C297" t="s">
        <v>1318</v>
      </c>
      <c r="D297">
        <v>0</v>
      </c>
      <c r="E297">
        <v>0</v>
      </c>
      <c r="F297">
        <v>0</v>
      </c>
      <c r="G297">
        <v>0</v>
      </c>
    </row>
    <row r="298" spans="1:7" x14ac:dyDescent="0.3">
      <c r="A298" t="s">
        <v>367</v>
      </c>
      <c r="B298" t="str">
        <f>"70609100"</f>
        <v>70609100</v>
      </c>
      <c r="C298" t="s">
        <v>1319</v>
      </c>
      <c r="D298">
        <v>0</v>
      </c>
      <c r="E298">
        <v>0</v>
      </c>
      <c r="F298">
        <v>0</v>
      </c>
      <c r="G298">
        <v>0</v>
      </c>
    </row>
    <row r="299" spans="1:7" x14ac:dyDescent="0.3">
      <c r="A299" t="s">
        <v>367</v>
      </c>
      <c r="B299" t="str">
        <f>"70609200"</f>
        <v>70609200</v>
      </c>
      <c r="C299" t="s">
        <v>1320</v>
      </c>
      <c r="D299">
        <v>0</v>
      </c>
      <c r="E299">
        <v>0</v>
      </c>
      <c r="F299">
        <v>0</v>
      </c>
      <c r="G299">
        <v>0</v>
      </c>
    </row>
    <row r="300" spans="1:7" x14ac:dyDescent="0.3">
      <c r="A300" t="s">
        <v>367</v>
      </c>
      <c r="B300" t="str">
        <f>"70609300"</f>
        <v>70609300</v>
      </c>
      <c r="C300" t="s">
        <v>1321</v>
      </c>
      <c r="D300">
        <v>0</v>
      </c>
      <c r="E300">
        <v>0</v>
      </c>
      <c r="F300">
        <v>0</v>
      </c>
      <c r="G300">
        <v>0</v>
      </c>
    </row>
    <row r="301" spans="1:7" x14ac:dyDescent="0.3">
      <c r="A301" t="s">
        <v>367</v>
      </c>
      <c r="B301" t="str">
        <f>"7061000"</f>
        <v>7061000</v>
      </c>
      <c r="C301" t="s">
        <v>1322</v>
      </c>
      <c r="D301">
        <v>0</v>
      </c>
      <c r="E301">
        <v>0</v>
      </c>
      <c r="F301">
        <v>0</v>
      </c>
      <c r="G301">
        <v>0</v>
      </c>
    </row>
    <row r="302" spans="1:7" x14ac:dyDescent="0.3">
      <c r="A302" t="s">
        <v>367</v>
      </c>
      <c r="B302" t="str">
        <f>"7061100"</f>
        <v>7061100</v>
      </c>
      <c r="C302" t="s">
        <v>1323</v>
      </c>
      <c r="D302">
        <v>0</v>
      </c>
      <c r="E302">
        <v>0</v>
      </c>
      <c r="F302">
        <v>0</v>
      </c>
      <c r="G302">
        <v>0</v>
      </c>
    </row>
    <row r="303" spans="1:7" x14ac:dyDescent="0.3">
      <c r="A303" t="s">
        <v>367</v>
      </c>
      <c r="B303" t="str">
        <f>"70690000"</f>
        <v>70690000</v>
      </c>
      <c r="C303" t="s">
        <v>1324</v>
      </c>
      <c r="D303">
        <v>0</v>
      </c>
      <c r="E303">
        <v>0</v>
      </c>
      <c r="F303">
        <v>0</v>
      </c>
      <c r="G303">
        <v>0</v>
      </c>
    </row>
    <row r="304" spans="1:7" x14ac:dyDescent="0.3">
      <c r="A304" t="s">
        <v>428</v>
      </c>
      <c r="B304" t="str">
        <f>"706"</f>
        <v>706</v>
      </c>
      <c r="C304" t="s">
        <v>1325</v>
      </c>
      <c r="D304">
        <v>0</v>
      </c>
      <c r="E304">
        <v>0</v>
      </c>
      <c r="F304">
        <v>0</v>
      </c>
      <c r="G304">
        <v>0</v>
      </c>
    </row>
    <row r="305" spans="1:7" x14ac:dyDescent="0.3">
      <c r="A305" t="s">
        <v>367</v>
      </c>
      <c r="B305" t="str">
        <f>"70780000"</f>
        <v>70780000</v>
      </c>
      <c r="C305" t="s">
        <v>1326</v>
      </c>
      <c r="D305">
        <v>0</v>
      </c>
      <c r="E305">
        <v>0</v>
      </c>
      <c r="F305">
        <v>0</v>
      </c>
      <c r="G305">
        <v>0</v>
      </c>
    </row>
    <row r="306" spans="1:7" x14ac:dyDescent="0.3">
      <c r="A306" t="s">
        <v>428</v>
      </c>
      <c r="B306" t="str">
        <f>"70"</f>
        <v>70</v>
      </c>
      <c r="C306" t="s">
        <v>1327</v>
      </c>
      <c r="D306">
        <v>0</v>
      </c>
      <c r="E306">
        <v>0</v>
      </c>
      <c r="F306">
        <v>0</v>
      </c>
      <c r="G306">
        <v>0</v>
      </c>
    </row>
    <row r="307" spans="1:7" x14ac:dyDescent="0.3">
      <c r="A307" t="s">
        <v>367</v>
      </c>
      <c r="B307" t="str">
        <f>"75600000"</f>
        <v>75600000</v>
      </c>
      <c r="C307" t="s">
        <v>1328</v>
      </c>
      <c r="D307">
        <v>0</v>
      </c>
      <c r="E307">
        <v>0</v>
      </c>
      <c r="F307">
        <v>0</v>
      </c>
      <c r="G307">
        <v>0</v>
      </c>
    </row>
    <row r="308" spans="1:7" x14ac:dyDescent="0.3">
      <c r="A308" t="s">
        <v>367</v>
      </c>
      <c r="B308" t="str">
        <f>"75821000"</f>
        <v>75821000</v>
      </c>
      <c r="C308" t="s">
        <v>1329</v>
      </c>
      <c r="D308">
        <v>0</v>
      </c>
      <c r="E308">
        <v>0</v>
      </c>
      <c r="F308">
        <v>0</v>
      </c>
      <c r="G308">
        <v>0</v>
      </c>
    </row>
    <row r="309" spans="1:7" x14ac:dyDescent="0.3">
      <c r="A309" t="s">
        <v>367</v>
      </c>
      <c r="B309" t="str">
        <f>"75880000"</f>
        <v>75880000</v>
      </c>
      <c r="C309" t="s">
        <v>1272</v>
      </c>
      <c r="D309">
        <v>0</v>
      </c>
      <c r="E309">
        <v>0</v>
      </c>
      <c r="F309">
        <v>0</v>
      </c>
      <c r="G309">
        <v>0</v>
      </c>
    </row>
    <row r="310" spans="1:7" x14ac:dyDescent="0.3">
      <c r="A310" t="s">
        <v>367</v>
      </c>
      <c r="B310" t="str">
        <f>"77220000"</f>
        <v>77220000</v>
      </c>
      <c r="C310" t="s">
        <v>1330</v>
      </c>
      <c r="D310">
        <v>0</v>
      </c>
      <c r="E310">
        <v>0</v>
      </c>
      <c r="F310">
        <v>0</v>
      </c>
      <c r="G310">
        <v>0</v>
      </c>
    </row>
    <row r="311" spans="1:7" x14ac:dyDescent="0.3">
      <c r="A311" t="s">
        <v>367</v>
      </c>
      <c r="B311" t="str">
        <f>"78101000"</f>
        <v>78101000</v>
      </c>
      <c r="C311" t="s">
        <v>1331</v>
      </c>
      <c r="D311">
        <v>0</v>
      </c>
      <c r="E311">
        <v>0</v>
      </c>
      <c r="F311">
        <v>0</v>
      </c>
      <c r="G311">
        <v>0</v>
      </c>
    </row>
    <row r="312" spans="1:7" x14ac:dyDescent="0.3">
      <c r="A312" t="s">
        <v>367</v>
      </c>
      <c r="B312" t="str">
        <f>"78102000"</f>
        <v>78102000</v>
      </c>
      <c r="C312" t="s">
        <v>1332</v>
      </c>
      <c r="D312">
        <v>0</v>
      </c>
      <c r="E312">
        <v>0</v>
      </c>
      <c r="F312">
        <v>0</v>
      </c>
      <c r="G312">
        <v>0</v>
      </c>
    </row>
    <row r="313" spans="1:7" x14ac:dyDescent="0.3">
      <c r="A313" t="s">
        <v>367</v>
      </c>
      <c r="B313" t="str">
        <f>"78103000"</f>
        <v>78103000</v>
      </c>
      <c r="C313" t="s">
        <v>1333</v>
      </c>
      <c r="D313">
        <v>0</v>
      </c>
      <c r="E313">
        <v>0</v>
      </c>
      <c r="F313">
        <v>0</v>
      </c>
      <c r="G313">
        <v>0</v>
      </c>
    </row>
    <row r="314" spans="1:7" x14ac:dyDescent="0.3">
      <c r="A314" t="s">
        <v>367</v>
      </c>
      <c r="B314" t="str">
        <f>"78104000"</f>
        <v>78104000</v>
      </c>
      <c r="C314" t="s">
        <v>1334</v>
      </c>
      <c r="D314">
        <v>0</v>
      </c>
      <c r="E314">
        <v>0</v>
      </c>
      <c r="F314">
        <v>0</v>
      </c>
      <c r="G314">
        <v>0</v>
      </c>
    </row>
    <row r="315" spans="1:7" x14ac:dyDescent="0.3">
      <c r="A315" t="s">
        <v>367</v>
      </c>
      <c r="B315" t="str">
        <f>"78710000"</f>
        <v>78710000</v>
      </c>
      <c r="C315" t="s">
        <v>1335</v>
      </c>
      <c r="D315">
        <v>0</v>
      </c>
      <c r="E315">
        <v>0</v>
      </c>
      <c r="F315">
        <v>0</v>
      </c>
      <c r="G315">
        <v>0</v>
      </c>
    </row>
    <row r="316" spans="1:7" x14ac:dyDescent="0.3">
      <c r="A316" t="s">
        <v>428</v>
      </c>
      <c r="B316" t="str">
        <f>"7"</f>
        <v>7</v>
      </c>
      <c r="C316" t="s">
        <v>528</v>
      </c>
      <c r="D316">
        <v>0</v>
      </c>
      <c r="E316">
        <v>0</v>
      </c>
      <c r="F316">
        <v>0</v>
      </c>
      <c r="G316">
        <v>0</v>
      </c>
    </row>
    <row r="317" spans="1:7" x14ac:dyDescent="0.3">
      <c r="A317" t="s">
        <v>367</v>
      </c>
      <c r="B317" t="str">
        <f>"89000000"</f>
        <v>89000000</v>
      </c>
      <c r="C317" t="s">
        <v>1336</v>
      </c>
      <c r="D317">
        <v>0</v>
      </c>
      <c r="E317">
        <v>0</v>
      </c>
      <c r="F317">
        <v>0</v>
      </c>
      <c r="G31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C4EA-E253-44BE-AF6B-903B2F3FDA65}">
  <dimension ref="A1:C4"/>
  <sheetViews>
    <sheetView workbookViewId="0">
      <selection activeCell="A7" sqref="A7"/>
    </sheetView>
  </sheetViews>
  <sheetFormatPr defaultRowHeight="15.6" x14ac:dyDescent="0.3"/>
  <cols>
    <col min="3" max="3" width="16.453125" customWidth="1"/>
  </cols>
  <sheetData>
    <row r="1" spans="1:3" x14ac:dyDescent="0.3">
      <c r="A1" t="s">
        <v>0</v>
      </c>
      <c r="B1" t="s">
        <v>337</v>
      </c>
      <c r="C1" t="s">
        <v>338</v>
      </c>
    </row>
    <row r="2" spans="1:3" x14ac:dyDescent="0.3">
      <c r="A2" t="s">
        <v>342</v>
      </c>
      <c r="B2" t="s">
        <v>359</v>
      </c>
      <c r="C2" t="s">
        <v>1047</v>
      </c>
    </row>
    <row r="3" spans="1:3" x14ac:dyDescent="0.3">
      <c r="A3" t="s">
        <v>339</v>
      </c>
      <c r="B3" t="s">
        <v>1048</v>
      </c>
      <c r="C3" t="s">
        <v>1049</v>
      </c>
    </row>
    <row r="4" spans="1:3" x14ac:dyDescent="0.3">
      <c r="A4" t="s">
        <v>345</v>
      </c>
      <c r="B4" t="s">
        <v>363</v>
      </c>
      <c r="C4" t="s">
        <v>364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F04D-D970-431D-9238-C887A98FBDD4}">
  <dimension ref="A1:F20"/>
  <sheetViews>
    <sheetView workbookViewId="0">
      <selection activeCell="H10" sqref="H10"/>
    </sheetView>
  </sheetViews>
  <sheetFormatPr defaultRowHeight="15.6" x14ac:dyDescent="0.3"/>
  <cols>
    <col min="2" max="2" width="14.26953125" customWidth="1"/>
    <col min="3" max="3" width="2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1337</v>
      </c>
      <c r="C2" t="s">
        <v>1338</v>
      </c>
      <c r="D2">
        <v>0</v>
      </c>
      <c r="E2">
        <v>0</v>
      </c>
      <c r="F2">
        <v>0</v>
      </c>
    </row>
    <row r="3" spans="1:6" x14ac:dyDescent="0.3">
      <c r="A3" t="s">
        <v>6</v>
      </c>
      <c r="B3" t="s">
        <v>1339</v>
      </c>
      <c r="C3" t="s">
        <v>1340</v>
      </c>
      <c r="D3">
        <v>0</v>
      </c>
      <c r="E3">
        <v>0</v>
      </c>
      <c r="F3">
        <v>0</v>
      </c>
    </row>
    <row r="4" spans="1:6" x14ac:dyDescent="0.3">
      <c r="A4" t="s">
        <v>6</v>
      </c>
      <c r="B4" t="s">
        <v>1341</v>
      </c>
      <c r="C4" t="s">
        <v>888</v>
      </c>
      <c r="D4">
        <v>0</v>
      </c>
      <c r="E4">
        <v>0</v>
      </c>
      <c r="F4">
        <v>0</v>
      </c>
    </row>
    <row r="5" spans="1:6" x14ac:dyDescent="0.3">
      <c r="A5" t="s">
        <v>6</v>
      </c>
      <c r="B5" t="s">
        <v>1342</v>
      </c>
      <c r="C5" t="s">
        <v>1343</v>
      </c>
      <c r="D5">
        <v>0</v>
      </c>
      <c r="E5">
        <v>0</v>
      </c>
      <c r="F5">
        <v>0</v>
      </c>
    </row>
    <row r="6" spans="1:6" x14ac:dyDescent="0.3">
      <c r="A6" t="s">
        <v>6</v>
      </c>
      <c r="B6" t="s">
        <v>1344</v>
      </c>
      <c r="C6" t="s">
        <v>1345</v>
      </c>
      <c r="D6">
        <v>0</v>
      </c>
      <c r="E6">
        <v>0</v>
      </c>
      <c r="F6">
        <v>0</v>
      </c>
    </row>
    <row r="7" spans="1:6" x14ac:dyDescent="0.3">
      <c r="A7" t="s">
        <v>6</v>
      </c>
      <c r="B7" t="str">
        <f>"4020000"</f>
        <v>4020000</v>
      </c>
      <c r="C7" t="s">
        <v>1346</v>
      </c>
      <c r="D7">
        <v>0</v>
      </c>
      <c r="E7">
        <v>0</v>
      </c>
      <c r="F7">
        <v>0</v>
      </c>
    </row>
    <row r="8" spans="1:6" x14ac:dyDescent="0.3">
      <c r="A8" t="s">
        <v>6</v>
      </c>
      <c r="B8" t="s">
        <v>1347</v>
      </c>
      <c r="C8" t="s">
        <v>1348</v>
      </c>
      <c r="D8">
        <v>0</v>
      </c>
      <c r="E8">
        <v>0</v>
      </c>
      <c r="F8">
        <v>0</v>
      </c>
    </row>
    <row r="9" spans="1:6" x14ac:dyDescent="0.3">
      <c r="A9" t="s">
        <v>6</v>
      </c>
      <c r="B9" t="s">
        <v>1343</v>
      </c>
      <c r="C9" t="s">
        <v>289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">
        <v>1349</v>
      </c>
      <c r="C10" t="s">
        <v>289</v>
      </c>
      <c r="D10">
        <v>0</v>
      </c>
      <c r="E10">
        <v>0</v>
      </c>
      <c r="F10">
        <v>0</v>
      </c>
    </row>
    <row r="12" spans="1:6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</row>
    <row r="13" spans="1:6" x14ac:dyDescent="0.3">
      <c r="A13" t="s">
        <v>318</v>
      </c>
      <c r="B13" t="s">
        <v>319</v>
      </c>
      <c r="C13" t="s">
        <v>320</v>
      </c>
      <c r="D13">
        <v>0</v>
      </c>
      <c r="E13">
        <v>0</v>
      </c>
      <c r="F13">
        <v>0</v>
      </c>
    </row>
    <row r="14" spans="1:6" x14ac:dyDescent="0.3">
      <c r="A14" t="s">
        <v>318</v>
      </c>
      <c r="B14" t="s">
        <v>321</v>
      </c>
      <c r="C14" t="s">
        <v>594</v>
      </c>
      <c r="D14">
        <v>0</v>
      </c>
      <c r="E14">
        <v>0</v>
      </c>
      <c r="F14">
        <v>0</v>
      </c>
    </row>
    <row r="15" spans="1:6" x14ac:dyDescent="0.3">
      <c r="A15" t="s">
        <v>318</v>
      </c>
      <c r="B15" t="s">
        <v>323</v>
      </c>
      <c r="C15" t="s">
        <v>324</v>
      </c>
      <c r="D15">
        <v>0</v>
      </c>
      <c r="E15">
        <v>0</v>
      </c>
      <c r="F15">
        <v>0</v>
      </c>
    </row>
    <row r="16" spans="1:6" x14ac:dyDescent="0.3">
      <c r="A16" t="s">
        <v>318</v>
      </c>
      <c r="B16" t="s">
        <v>325</v>
      </c>
      <c r="C16" t="s">
        <v>326</v>
      </c>
      <c r="D16">
        <v>0</v>
      </c>
      <c r="E16">
        <v>0</v>
      </c>
      <c r="F16">
        <v>0</v>
      </c>
    </row>
    <row r="17" spans="1:6" x14ac:dyDescent="0.3">
      <c r="A17" t="s">
        <v>318</v>
      </c>
      <c r="B17" t="s">
        <v>327</v>
      </c>
      <c r="C17" t="s">
        <v>328</v>
      </c>
      <c r="D17">
        <v>0</v>
      </c>
      <c r="E17">
        <v>0</v>
      </c>
      <c r="F17">
        <v>0</v>
      </c>
    </row>
    <row r="18" spans="1:6" x14ac:dyDescent="0.3">
      <c r="A18" t="s">
        <v>318</v>
      </c>
      <c r="B18" t="s">
        <v>331</v>
      </c>
      <c r="C18" t="s">
        <v>332</v>
      </c>
      <c r="D18">
        <v>0</v>
      </c>
      <c r="E18">
        <v>0</v>
      </c>
      <c r="F18">
        <v>0</v>
      </c>
    </row>
    <row r="19" spans="1:6" x14ac:dyDescent="0.3">
      <c r="A19" t="s">
        <v>318</v>
      </c>
      <c r="B19" t="s">
        <v>333</v>
      </c>
      <c r="C19" t="s">
        <v>334</v>
      </c>
      <c r="D19">
        <v>0</v>
      </c>
      <c r="E19">
        <v>0</v>
      </c>
      <c r="F19">
        <v>0</v>
      </c>
    </row>
    <row r="20" spans="1:6" x14ac:dyDescent="0.3">
      <c r="A20" t="s">
        <v>318</v>
      </c>
      <c r="B20" t="s">
        <v>335</v>
      </c>
      <c r="C20" t="s">
        <v>1051</v>
      </c>
      <c r="D20">
        <v>0</v>
      </c>
      <c r="E20">
        <v>0</v>
      </c>
      <c r="F2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2503-2D31-42E5-9A96-63C01FD574FD}">
  <dimension ref="A1:G190"/>
  <sheetViews>
    <sheetView workbookViewId="0">
      <selection sqref="A1:G190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365</v>
      </c>
      <c r="E1" t="s">
        <v>366</v>
      </c>
      <c r="F1" t="s">
        <v>3</v>
      </c>
      <c r="G1" t="s">
        <v>4</v>
      </c>
    </row>
    <row r="2" spans="1:7" x14ac:dyDescent="0.3">
      <c r="A2" t="s">
        <v>367</v>
      </c>
      <c r="B2" t="str">
        <f>"1011000"</f>
        <v>1011000</v>
      </c>
      <c r="C2" t="s">
        <v>1350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367</v>
      </c>
      <c r="B3" t="str">
        <f>"1012100"</f>
        <v>1012100</v>
      </c>
      <c r="C3" t="s">
        <v>1351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367</v>
      </c>
      <c r="B4" t="str">
        <f>"1013100"</f>
        <v>1013100</v>
      </c>
      <c r="C4" t="s">
        <v>1352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367</v>
      </c>
      <c r="B5" t="str">
        <f>"1211100"</f>
        <v>1211100</v>
      </c>
      <c r="C5" t="s">
        <v>1058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367</v>
      </c>
      <c r="B6" t="str">
        <f>"1291000"</f>
        <v>1291000</v>
      </c>
      <c r="C6" t="s">
        <v>372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367</v>
      </c>
      <c r="B7" t="str">
        <f>"1301000"</f>
        <v>1301000</v>
      </c>
      <c r="C7" t="s">
        <v>1059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367</v>
      </c>
      <c r="B8" t="str">
        <f>"1309000"</f>
        <v>1309000</v>
      </c>
      <c r="C8" t="s">
        <v>374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367</v>
      </c>
      <c r="B9" t="str">
        <f>"1311000"</f>
        <v>1311000</v>
      </c>
      <c r="C9" t="s">
        <v>375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367</v>
      </c>
      <c r="B10" t="str">
        <f>"1391000"</f>
        <v>1391000</v>
      </c>
      <c r="C10" t="s">
        <v>1061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367</v>
      </c>
      <c r="B11" t="str">
        <f>"2351110"</f>
        <v>2351110</v>
      </c>
      <c r="C11" t="s">
        <v>1353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367</v>
      </c>
      <c r="B12" t="str">
        <f>"2441110"</f>
        <v>2441110</v>
      </c>
      <c r="C12" t="s">
        <v>377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367</v>
      </c>
      <c r="B13" t="str">
        <f>"2442110"</f>
        <v>2442110</v>
      </c>
      <c r="C13" t="s">
        <v>1354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367</v>
      </c>
      <c r="B14" t="str">
        <f>"2442220"</f>
        <v>2442220</v>
      </c>
      <c r="C14" t="s">
        <v>1068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367</v>
      </c>
      <c r="B15" t="str">
        <f>"2444110"</f>
        <v>2444110</v>
      </c>
      <c r="C15" t="s">
        <v>378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367</v>
      </c>
      <c r="B16" t="str">
        <f>"2451100"</f>
        <v>2451100</v>
      </c>
      <c r="C16" t="s">
        <v>1355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367</v>
      </c>
      <c r="B17" t="str">
        <f>"2751000"</f>
        <v>2751000</v>
      </c>
      <c r="C17" t="s">
        <v>619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367</v>
      </c>
      <c r="B18" t="str">
        <f>"2762000"</f>
        <v>2762000</v>
      </c>
      <c r="C18" t="s">
        <v>1356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367</v>
      </c>
      <c r="B19" t="str">
        <f>"2784000"</f>
        <v>2784000</v>
      </c>
      <c r="C19" t="s">
        <v>1072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367</v>
      </c>
      <c r="B20" t="str">
        <f>"2844000"</f>
        <v>2844000</v>
      </c>
      <c r="C20" t="s">
        <v>1357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367</v>
      </c>
      <c r="B21" t="str">
        <f>"2845000"</f>
        <v>2845000</v>
      </c>
      <c r="C21" t="s">
        <v>384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367</v>
      </c>
      <c r="B22" t="str">
        <f>"2848000"</f>
        <v>2848000</v>
      </c>
      <c r="C22" t="s">
        <v>1358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367</v>
      </c>
      <c r="B23" t="str">
        <f>"4010000"</f>
        <v>4010000</v>
      </c>
      <c r="C23" t="s">
        <v>1359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367</v>
      </c>
      <c r="B24" t="str">
        <f>"4110000"</f>
        <v>4110000</v>
      </c>
      <c r="C24" t="s">
        <v>1360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367</v>
      </c>
      <c r="B25" t="str">
        <f>"4190000"</f>
        <v>4190000</v>
      </c>
      <c r="C25" t="s">
        <v>1361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367</v>
      </c>
      <c r="B26" t="str">
        <f>"4211000"</f>
        <v>4211000</v>
      </c>
      <c r="C26" t="s">
        <v>1362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367</v>
      </c>
      <c r="B27" t="str">
        <f>"4212000"</f>
        <v>4212000</v>
      </c>
      <c r="C27" t="s">
        <v>1363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367</v>
      </c>
      <c r="B28" t="str">
        <f>"4218300"</f>
        <v>4218300</v>
      </c>
      <c r="C28" t="s">
        <v>1088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367</v>
      </c>
      <c r="B29" t="str">
        <f>"4221100"</f>
        <v>4221100</v>
      </c>
      <c r="C29" t="s">
        <v>1364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367</v>
      </c>
      <c r="B30" t="str">
        <f>"4221300"</f>
        <v>4221300</v>
      </c>
      <c r="C30" t="s">
        <v>1092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367</v>
      </c>
      <c r="B31" t="str">
        <f>"4241000"</f>
        <v>4241000</v>
      </c>
      <c r="C31" t="s">
        <v>1365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367</v>
      </c>
      <c r="B32" t="str">
        <f>"4281100"</f>
        <v>4281100</v>
      </c>
      <c r="C32" t="s">
        <v>1093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367</v>
      </c>
      <c r="B33" t="str">
        <f>"4311200"</f>
        <v>4311200</v>
      </c>
      <c r="C33" t="s">
        <v>1366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367</v>
      </c>
      <c r="B34" t="str">
        <f>"4312300"</f>
        <v>4312300</v>
      </c>
      <c r="C34" t="s">
        <v>1367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367</v>
      </c>
      <c r="B35" t="str">
        <f>"4313200"</f>
        <v>4313200</v>
      </c>
      <c r="C35" t="s">
        <v>1368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367</v>
      </c>
      <c r="B36" t="str">
        <f>"4313300"</f>
        <v>4313300</v>
      </c>
      <c r="C36" t="s">
        <v>1369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367</v>
      </c>
      <c r="B37" t="str">
        <f>"4411100"</f>
        <v>4411100</v>
      </c>
      <c r="C37" t="s">
        <v>1370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367</v>
      </c>
      <c r="B38" t="str">
        <f>"4432100"</f>
        <v>4432100</v>
      </c>
      <c r="C38" t="s">
        <v>1371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367</v>
      </c>
      <c r="B39" t="str">
        <f>"4441000"</f>
        <v>4441000</v>
      </c>
      <c r="C39" t="s">
        <v>1372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367</v>
      </c>
      <c r="B40" t="str">
        <f>"4454000"</f>
        <v>4454000</v>
      </c>
      <c r="C40" t="s">
        <v>1117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367</v>
      </c>
      <c r="B41" t="str">
        <f>"4472700"</f>
        <v>4472700</v>
      </c>
      <c r="C41" t="s">
        <v>1373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367</v>
      </c>
      <c r="B42" t="str">
        <f>"4472710"</f>
        <v>4472710</v>
      </c>
      <c r="C42" t="s">
        <v>1374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367</v>
      </c>
      <c r="B43" t="str">
        <f>"4472715"</f>
        <v>4472715</v>
      </c>
      <c r="C43" t="s">
        <v>1375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367</v>
      </c>
      <c r="B44" t="str">
        <f>"447272000"</f>
        <v>447272000</v>
      </c>
      <c r="C44" t="s">
        <v>1376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367</v>
      </c>
      <c r="B45" t="str">
        <f>"4472730"</f>
        <v>4472730</v>
      </c>
      <c r="C45" t="s">
        <v>1377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367</v>
      </c>
      <c r="B46" t="str">
        <f>"4472740"</f>
        <v>4472740</v>
      </c>
      <c r="C46" t="s">
        <v>1378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367</v>
      </c>
      <c r="B47" t="str">
        <f>"4472750"</f>
        <v>4472750</v>
      </c>
      <c r="C47" t="s">
        <v>1379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367</v>
      </c>
      <c r="B48" t="str">
        <f>"4472760"</f>
        <v>4472760</v>
      </c>
      <c r="C48" t="s">
        <v>1380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367</v>
      </c>
      <c r="B49" t="str">
        <f>"4472780"</f>
        <v>4472780</v>
      </c>
      <c r="C49" t="s">
        <v>1381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367</v>
      </c>
      <c r="B50" t="str">
        <f>"4492100"</f>
        <v>4492100</v>
      </c>
      <c r="C50" t="s">
        <v>1382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367</v>
      </c>
      <c r="B51" t="str">
        <f>"4612000"</f>
        <v>4612000</v>
      </c>
      <c r="C51" t="s">
        <v>672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367</v>
      </c>
      <c r="B52" t="str">
        <f>"4613000"</f>
        <v>4613000</v>
      </c>
      <c r="C52" t="s">
        <v>1383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367</v>
      </c>
      <c r="B53" t="str">
        <f>"4621000"</f>
        <v>4621000</v>
      </c>
      <c r="C53" t="s">
        <v>1384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367</v>
      </c>
      <c r="B54" t="str">
        <f>"4711100"</f>
        <v>4711100</v>
      </c>
      <c r="C54" t="s">
        <v>1385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367</v>
      </c>
      <c r="B55" t="str">
        <f>"4711210"</f>
        <v>4711210</v>
      </c>
      <c r="C55" t="s">
        <v>1386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367</v>
      </c>
      <c r="B56" t="str">
        <f>"4711700"</f>
        <v>4711700</v>
      </c>
      <c r="C56" t="s">
        <v>1387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367</v>
      </c>
      <c r="B57" t="str">
        <f>"4711800"</f>
        <v>4711800</v>
      </c>
      <c r="C57" t="s">
        <v>1388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367</v>
      </c>
      <c r="B58" t="str">
        <f>"4711810"</f>
        <v>4711810</v>
      </c>
      <c r="C58" t="s">
        <v>1389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367</v>
      </c>
      <c r="B59" t="str">
        <f>"4711900"</f>
        <v>4711900</v>
      </c>
      <c r="C59" t="s">
        <v>418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367</v>
      </c>
      <c r="B60" t="str">
        <f>"4712100"</f>
        <v>4712100</v>
      </c>
      <c r="C60" t="s">
        <v>1390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367</v>
      </c>
      <c r="B61" t="str">
        <f>"4712200"</f>
        <v>4712200</v>
      </c>
      <c r="C61" t="s">
        <v>1391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367</v>
      </c>
      <c r="B62" t="str">
        <f>"4712300"</f>
        <v>4712300</v>
      </c>
      <c r="C62" t="s">
        <v>1392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367</v>
      </c>
      <c r="B63" t="str">
        <f>"471230"</f>
        <v>471230</v>
      </c>
      <c r="C63" t="s">
        <v>132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367</v>
      </c>
      <c r="B64" t="str">
        <f>"4712400"</f>
        <v>4712400</v>
      </c>
      <c r="C64" t="s">
        <v>413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367</v>
      </c>
      <c r="B65" t="str">
        <f>"4717000"</f>
        <v>4717000</v>
      </c>
      <c r="C65" t="s">
        <v>1393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367</v>
      </c>
      <c r="B66" t="str">
        <f>"4761000"</f>
        <v>4761000</v>
      </c>
      <c r="C66" t="s">
        <v>1394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367</v>
      </c>
      <c r="B67" t="str">
        <f>"4771000"</f>
        <v>4771000</v>
      </c>
      <c r="C67" t="s">
        <v>423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367</v>
      </c>
      <c r="B68" t="str">
        <f>"5211100"</f>
        <v>5211100</v>
      </c>
      <c r="C68" t="s">
        <v>1395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367</v>
      </c>
      <c r="B69" t="str">
        <f>"5211200"</f>
        <v>5211200</v>
      </c>
      <c r="C69" t="s">
        <v>1396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367</v>
      </c>
      <c r="B70" t="str">
        <f>"5711000"</f>
        <v>5711000</v>
      </c>
      <c r="C70" t="s">
        <v>1397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367</v>
      </c>
      <c r="B71" t="str">
        <f>"58500000"</f>
        <v>58500000</v>
      </c>
      <c r="C71" t="s">
        <v>1398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367</v>
      </c>
      <c r="B72" t="str">
        <f>"5851300"</f>
        <v>5851300</v>
      </c>
      <c r="C72" t="s">
        <v>1399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367</v>
      </c>
      <c r="B73" t="str">
        <f>"5851600"</f>
        <v>5851600</v>
      </c>
      <c r="C73" t="s">
        <v>1400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367</v>
      </c>
      <c r="B74" t="str">
        <f>"6047100"</f>
        <v>6047100</v>
      </c>
      <c r="C74" t="s">
        <v>1401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367</v>
      </c>
      <c r="B75" t="str">
        <f>"6047200"</f>
        <v>6047200</v>
      </c>
      <c r="C75" t="s">
        <v>1402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367</v>
      </c>
      <c r="B76" t="str">
        <f>"6051000"</f>
        <v>6051000</v>
      </c>
      <c r="C76" t="s">
        <v>1403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367</v>
      </c>
      <c r="B77" t="str">
        <f>"6052000"</f>
        <v>6052000</v>
      </c>
      <c r="C77" t="s">
        <v>1404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367</v>
      </c>
      <c r="B78" t="str">
        <f>"6053100"</f>
        <v>6053100</v>
      </c>
      <c r="C78" t="s">
        <v>1405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367</v>
      </c>
      <c r="B79" t="str">
        <f>"6054100"</f>
        <v>6054100</v>
      </c>
      <c r="C79" t="s">
        <v>434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367</v>
      </c>
      <c r="B80" t="str">
        <f>"6054200"</f>
        <v>6054200</v>
      </c>
      <c r="C80" t="s">
        <v>435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367</v>
      </c>
      <c r="B81" t="str">
        <f>"6055100"</f>
        <v>6055100</v>
      </c>
      <c r="C81" t="s">
        <v>1161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367</v>
      </c>
      <c r="B82" t="str">
        <f>"6056000"</f>
        <v>6056000</v>
      </c>
      <c r="C82" t="s">
        <v>1406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367</v>
      </c>
      <c r="B83" t="str">
        <f>"6056100"</f>
        <v>6056100</v>
      </c>
      <c r="C83" t="s">
        <v>1407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367</v>
      </c>
      <c r="B84" t="str">
        <f>"6057100"</f>
        <v>6057100</v>
      </c>
      <c r="C84" t="s">
        <v>1408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367</v>
      </c>
      <c r="B85" t="str">
        <f>"6161000"</f>
        <v>6161000</v>
      </c>
      <c r="C85" t="s">
        <v>1171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367</v>
      </c>
      <c r="B86" t="str">
        <f>"6181100"</f>
        <v>6181100</v>
      </c>
      <c r="C86" t="s">
        <v>1172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367</v>
      </c>
      <c r="B87" t="str">
        <f>"6181200"</f>
        <v>6181200</v>
      </c>
      <c r="C87" t="s">
        <v>1247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367</v>
      </c>
      <c r="B88" t="str">
        <f>"6183000"</f>
        <v>6183000</v>
      </c>
      <c r="C88" t="s">
        <v>1409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367</v>
      </c>
      <c r="B89" t="str">
        <f>"6184000"</f>
        <v>6184000</v>
      </c>
      <c r="C89" t="s">
        <v>1410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367</v>
      </c>
      <c r="B90" t="str">
        <f>"6185000"</f>
        <v>6185000</v>
      </c>
      <c r="C90" t="s">
        <v>1411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367</v>
      </c>
      <c r="B91" t="str">
        <f>"6216000"</f>
        <v>6216000</v>
      </c>
      <c r="C91" t="s">
        <v>1412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367</v>
      </c>
      <c r="B92" t="str">
        <f>"6222000"</f>
        <v>6222000</v>
      </c>
      <c r="C92" t="s">
        <v>1413</v>
      </c>
      <c r="D92">
        <v>0</v>
      </c>
      <c r="E92">
        <v>0</v>
      </c>
      <c r="F92">
        <v>0</v>
      </c>
      <c r="G92">
        <v>0</v>
      </c>
    </row>
    <row r="93" spans="1:7" x14ac:dyDescent="0.3">
      <c r="A93" t="s">
        <v>367</v>
      </c>
      <c r="B93" t="str">
        <f>"6228100"</f>
        <v>6228100</v>
      </c>
      <c r="C93" t="s">
        <v>1414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367</v>
      </c>
      <c r="B94" t="str">
        <f>"6243300"</f>
        <v>6243300</v>
      </c>
      <c r="C94" t="s">
        <v>1415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367</v>
      </c>
      <c r="B95" t="str">
        <f>"6243400"</f>
        <v>6243400</v>
      </c>
      <c r="C95" t="s">
        <v>1194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367</v>
      </c>
      <c r="B96" t="str">
        <f>"6243500"</f>
        <v>6243500</v>
      </c>
      <c r="C96" t="s">
        <v>1416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367</v>
      </c>
      <c r="B97" t="str">
        <f>"6248100"</f>
        <v>6248100</v>
      </c>
      <c r="C97" t="s">
        <v>1417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367</v>
      </c>
      <c r="B98" t="str">
        <f>"6251100"</f>
        <v>6251100</v>
      </c>
      <c r="C98" t="s">
        <v>454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367</v>
      </c>
      <c r="B99" t="str">
        <f>"6265100"</f>
        <v>6265100</v>
      </c>
      <c r="C99" t="s">
        <v>456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367</v>
      </c>
      <c r="B100" t="str">
        <f>"6272000"</f>
        <v>6272000</v>
      </c>
      <c r="C100" t="s">
        <v>458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367</v>
      </c>
      <c r="B101" t="str">
        <f>"6273100"</f>
        <v>6273100</v>
      </c>
      <c r="C101" t="s">
        <v>1203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367</v>
      </c>
      <c r="B102" t="str">
        <f>"6274000"</f>
        <v>6274000</v>
      </c>
      <c r="C102" t="s">
        <v>459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367</v>
      </c>
      <c r="B103" t="str">
        <f>"6276000"</f>
        <v>6276000</v>
      </c>
      <c r="C103" t="s">
        <v>461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367</v>
      </c>
      <c r="B104" t="str">
        <f>"6281100"</f>
        <v>6281100</v>
      </c>
      <c r="C104" t="s">
        <v>1212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367</v>
      </c>
      <c r="B105" t="str">
        <f>"6281200"</f>
        <v>6281200</v>
      </c>
      <c r="C105" t="s">
        <v>1418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367</v>
      </c>
      <c r="B106" t="str">
        <f>"6283000"</f>
        <v>6283000</v>
      </c>
      <c r="C106" t="s">
        <v>465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367</v>
      </c>
      <c r="B107" t="str">
        <f>"6288000"</f>
        <v>6288000</v>
      </c>
      <c r="C107" t="s">
        <v>1419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367</v>
      </c>
      <c r="B108" t="str">
        <f>"6317000"</f>
        <v>6317000</v>
      </c>
      <c r="C108" t="s">
        <v>1218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367</v>
      </c>
      <c r="B109" t="str">
        <f>"63181000"</f>
        <v>63181000</v>
      </c>
      <c r="C109" t="s">
        <v>1420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367</v>
      </c>
      <c r="B110" t="str">
        <f>"6324100"</f>
        <v>6324100</v>
      </c>
      <c r="C110" t="s">
        <v>1227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367</v>
      </c>
      <c r="B111" t="str">
        <f>"6324200"</f>
        <v>6324200</v>
      </c>
      <c r="C111" t="s">
        <v>1421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367</v>
      </c>
      <c r="B112" t="str">
        <f>"6324300"</f>
        <v>6324300</v>
      </c>
      <c r="C112" t="s">
        <v>1422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367</v>
      </c>
      <c r="B113" t="str">
        <f>"6324400"</f>
        <v>6324400</v>
      </c>
      <c r="C113" t="s">
        <v>1423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367</v>
      </c>
      <c r="B114" t="str">
        <f>"6324500"</f>
        <v>6324500</v>
      </c>
      <c r="C114" t="s">
        <v>473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367</v>
      </c>
      <c r="B115" t="str">
        <f>"6324800"</f>
        <v>6324800</v>
      </c>
      <c r="C115" t="s">
        <v>1424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367</v>
      </c>
      <c r="B116" t="str">
        <f>"6328100"</f>
        <v>6328100</v>
      </c>
      <c r="C116" t="s">
        <v>1425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367</v>
      </c>
      <c r="B117" t="str">
        <f>"6328200"</f>
        <v>6328200</v>
      </c>
      <c r="C117" t="s">
        <v>476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367</v>
      </c>
      <c r="B118" t="str">
        <f>"6328300"</f>
        <v>6328300</v>
      </c>
      <c r="C118" t="s">
        <v>479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367</v>
      </c>
      <c r="B119" t="str">
        <f>"6328400"</f>
        <v>6328400</v>
      </c>
      <c r="C119" t="s">
        <v>1426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367</v>
      </c>
      <c r="B120" t="str">
        <f>"6343000"</f>
        <v>6343000</v>
      </c>
      <c r="C120" t="s">
        <v>1427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367</v>
      </c>
      <c r="B121" t="str">
        <f>"6345000"</f>
        <v>6345000</v>
      </c>
      <c r="C121" t="s">
        <v>1428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367</v>
      </c>
      <c r="B122" t="str">
        <f>"6381100"</f>
        <v>6381100</v>
      </c>
      <c r="C122" t="s">
        <v>1237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367</v>
      </c>
      <c r="B123" t="str">
        <f>"6383100"</f>
        <v>6383100</v>
      </c>
      <c r="C123" t="s">
        <v>483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367</v>
      </c>
      <c r="B124" t="str">
        <f>"6383300"</f>
        <v>6383300</v>
      </c>
      <c r="C124" t="s">
        <v>1429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367</v>
      </c>
      <c r="B125" t="str">
        <f>"6384100"</f>
        <v>6384100</v>
      </c>
      <c r="C125" t="s">
        <v>1241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367</v>
      </c>
      <c r="B126" t="str">
        <f>"6384200"</f>
        <v>6384200</v>
      </c>
      <c r="C126" t="s">
        <v>1430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367</v>
      </c>
      <c r="B127" t="str">
        <f>"6413000"</f>
        <v>6413000</v>
      </c>
      <c r="C127" t="s">
        <v>1431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367</v>
      </c>
      <c r="B128" t="str">
        <f>"6413100"</f>
        <v>6413100</v>
      </c>
      <c r="C128" t="s">
        <v>1432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367</v>
      </c>
      <c r="B129" t="str">
        <f>"6418000"</f>
        <v>6418000</v>
      </c>
      <c r="C129" t="s">
        <v>1433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367</v>
      </c>
      <c r="B130" t="str">
        <f>"6462100"</f>
        <v>6462100</v>
      </c>
      <c r="C130" t="s">
        <v>1434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367</v>
      </c>
      <c r="B131" t="str">
        <f>"6462200"</f>
        <v>6462200</v>
      </c>
      <c r="C131" t="s">
        <v>1435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367</v>
      </c>
      <c r="B132" t="str">
        <f>"6471200"</f>
        <v>6471200</v>
      </c>
      <c r="C132" t="s">
        <v>1436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367</v>
      </c>
      <c r="B133" t="str">
        <f>"6560000"</f>
        <v>6560000</v>
      </c>
      <c r="C133" t="s">
        <v>1437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367</v>
      </c>
      <c r="B134" t="str">
        <f>"6561000"</f>
        <v>6561000</v>
      </c>
      <c r="C134" t="s">
        <v>1438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367</v>
      </c>
      <c r="B135" t="str">
        <f>"6580000"</f>
        <v>6580000</v>
      </c>
      <c r="C135" t="s">
        <v>1439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367</v>
      </c>
      <c r="B136" t="str">
        <f>"6581100"</f>
        <v>6581100</v>
      </c>
      <c r="C136" t="s">
        <v>1440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367</v>
      </c>
      <c r="B137" t="str">
        <f>"6582000"</f>
        <v>6582000</v>
      </c>
      <c r="C137" t="s">
        <v>1441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367</v>
      </c>
      <c r="B138" t="str">
        <f>"6588000"</f>
        <v>6588000</v>
      </c>
      <c r="C138" t="s">
        <v>1442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367</v>
      </c>
      <c r="B139" t="str">
        <f>"6611000"</f>
        <v>6611000</v>
      </c>
      <c r="C139" t="s">
        <v>1443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367</v>
      </c>
      <c r="B140" t="str">
        <f>"6611010"</f>
        <v>6611010</v>
      </c>
      <c r="C140" t="s">
        <v>1444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367</v>
      </c>
      <c r="B141" t="str">
        <f>"6612000"</f>
        <v>6612000</v>
      </c>
      <c r="C141" t="s">
        <v>1445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367</v>
      </c>
      <c r="B142" t="str">
        <f>"6613000"</f>
        <v>6613000</v>
      </c>
      <c r="C142" t="s">
        <v>507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367</v>
      </c>
      <c r="B143" t="str">
        <f>"6614000"</f>
        <v>6614000</v>
      </c>
      <c r="C143" t="s">
        <v>1446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367</v>
      </c>
      <c r="B144" t="str">
        <f>"6615000"</f>
        <v>6615000</v>
      </c>
      <c r="C144" t="s">
        <v>1447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367</v>
      </c>
      <c r="B145" t="str">
        <f>"6615100"</f>
        <v>6615100</v>
      </c>
      <c r="C145" t="s">
        <v>1448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367</v>
      </c>
      <c r="B146" t="str">
        <f>"6622000"</f>
        <v>6622000</v>
      </c>
      <c r="C146" t="s">
        <v>1449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367</v>
      </c>
      <c r="B147" t="str">
        <f>"6623000"</f>
        <v>6623000</v>
      </c>
      <c r="C147" t="s">
        <v>1450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t="s">
        <v>367</v>
      </c>
      <c r="B148" t="str">
        <f>"6631000"</f>
        <v>6631000</v>
      </c>
      <c r="C148" t="s">
        <v>1451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367</v>
      </c>
      <c r="B149" t="str">
        <f>"6631010"</f>
        <v>6631010</v>
      </c>
      <c r="C149" t="s">
        <v>1289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367</v>
      </c>
      <c r="B150" t="str">
        <f>"6632000"</f>
        <v>6632000</v>
      </c>
      <c r="C150" t="s">
        <v>1452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367</v>
      </c>
      <c r="B151" t="str">
        <f>"6633000"</f>
        <v>6633000</v>
      </c>
      <c r="C151" t="s">
        <v>1453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367</v>
      </c>
      <c r="B152" t="str">
        <f>"6634000"</f>
        <v>6634000</v>
      </c>
      <c r="C152" t="s">
        <v>1454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367</v>
      </c>
      <c r="B153" t="str">
        <f>"6634010"</f>
        <v>6634010</v>
      </c>
      <c r="C153" t="s">
        <v>1455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367</v>
      </c>
      <c r="B154" t="str">
        <f>"6635000"</f>
        <v>6635000</v>
      </c>
      <c r="C154" t="s">
        <v>1456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367</v>
      </c>
      <c r="B155" t="str">
        <f>"6638000"</f>
        <v>6638000</v>
      </c>
      <c r="C155" t="s">
        <v>1457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367</v>
      </c>
      <c r="B156" t="str">
        <f>"6641000"</f>
        <v>6641000</v>
      </c>
      <c r="C156" t="s">
        <v>1458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367</v>
      </c>
      <c r="B157" t="str">
        <f>"6642000"</f>
        <v>6642000</v>
      </c>
      <c r="C157" t="s">
        <v>1459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367</v>
      </c>
      <c r="B158" t="str">
        <f>"6671100"</f>
        <v>6671100</v>
      </c>
      <c r="C158" t="s">
        <v>1300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367</v>
      </c>
      <c r="B159" t="str">
        <f>"6683011"</f>
        <v>6683011</v>
      </c>
      <c r="C159" t="s">
        <v>1460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367</v>
      </c>
      <c r="B160" t="str">
        <f>"6684100"</f>
        <v>6684100</v>
      </c>
      <c r="C160" t="s">
        <v>1461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367</v>
      </c>
      <c r="B161" t="str">
        <f>"6684200"</f>
        <v>6684200</v>
      </c>
      <c r="C161" t="s">
        <v>1462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367</v>
      </c>
      <c r="B162" t="str">
        <f>"6684500"</f>
        <v>6684500</v>
      </c>
      <c r="C162" t="s">
        <v>1463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367</v>
      </c>
      <c r="B163" t="str">
        <f>"6741000"</f>
        <v>6741000</v>
      </c>
      <c r="C163" t="s">
        <v>1464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367</v>
      </c>
      <c r="B164" t="str">
        <f>"6813000"</f>
        <v>6813000</v>
      </c>
      <c r="C164" t="s">
        <v>1465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t="s">
        <v>367</v>
      </c>
      <c r="B165" t="str">
        <f>"7060000"</f>
        <v>7060000</v>
      </c>
      <c r="C165" t="s">
        <v>529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367</v>
      </c>
      <c r="B166" t="str">
        <f>"7061000"</f>
        <v>7061000</v>
      </c>
      <c r="C166" t="s">
        <v>1322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367</v>
      </c>
      <c r="B167" t="str">
        <f>"7061110"</f>
        <v>7061110</v>
      </c>
      <c r="C167" t="s">
        <v>1466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367</v>
      </c>
      <c r="B168" t="str">
        <f>"7061120"</f>
        <v>7061120</v>
      </c>
      <c r="C168" t="s">
        <v>1467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367</v>
      </c>
      <c r="B169" t="str">
        <f>"7061130"</f>
        <v>7061130</v>
      </c>
      <c r="C169" t="s">
        <v>1468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367</v>
      </c>
      <c r="B170" t="str">
        <f>"7061140"</f>
        <v>7061140</v>
      </c>
      <c r="C170" t="s">
        <v>1316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367</v>
      </c>
      <c r="B171" t="str">
        <f>"7061150"</f>
        <v>7061150</v>
      </c>
      <c r="C171" t="s">
        <v>1469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367</v>
      </c>
      <c r="B172" t="str">
        <f>"7061160"</f>
        <v>7061160</v>
      </c>
      <c r="C172" t="s">
        <v>1470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367</v>
      </c>
      <c r="B173" t="str">
        <f>"7061170"</f>
        <v>7061170</v>
      </c>
      <c r="C173" t="s">
        <v>852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367</v>
      </c>
      <c r="B174" t="str">
        <f>"7061180"</f>
        <v>7061180</v>
      </c>
      <c r="C174" t="s">
        <v>1471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428</v>
      </c>
      <c r="B175" t="str">
        <f>"70"</f>
        <v>70</v>
      </c>
      <c r="C175" t="s">
        <v>1327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367</v>
      </c>
      <c r="B176" t="str">
        <f>"7561000"</f>
        <v>7561000</v>
      </c>
      <c r="C176" t="s">
        <v>546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367</v>
      </c>
      <c r="B177" t="str">
        <f>"7588000"</f>
        <v>7588000</v>
      </c>
      <c r="C177" t="s">
        <v>1472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367</v>
      </c>
      <c r="B178" t="str">
        <f>"7713000"</f>
        <v>7713000</v>
      </c>
      <c r="C178" t="s">
        <v>1473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367</v>
      </c>
      <c r="B179" t="str">
        <f>"7811200"</f>
        <v>7811200</v>
      </c>
      <c r="C179" t="s">
        <v>1474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367</v>
      </c>
      <c r="B180" t="str">
        <f>"7811210"</f>
        <v>7811210</v>
      </c>
      <c r="C180" t="s">
        <v>1475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367</v>
      </c>
      <c r="B181" t="str">
        <f>"7811220"</f>
        <v>7811220</v>
      </c>
      <c r="C181" t="s">
        <v>1476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367</v>
      </c>
      <c r="B182" t="str">
        <f>"7811230"</f>
        <v>7811230</v>
      </c>
      <c r="C182" t="s">
        <v>549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367</v>
      </c>
      <c r="B183" t="str">
        <f>"7811231"</f>
        <v>7811231</v>
      </c>
      <c r="C183" t="s">
        <v>1477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367</v>
      </c>
      <c r="B184" t="str">
        <f>"7811232"</f>
        <v>7811232</v>
      </c>
      <c r="C184" t="s">
        <v>555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367</v>
      </c>
      <c r="B185" t="str">
        <f>"7811233"</f>
        <v>7811233</v>
      </c>
      <c r="C185" t="s">
        <v>1478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367</v>
      </c>
      <c r="B186" t="str">
        <f>"7811240"</f>
        <v>7811240</v>
      </c>
      <c r="C186" t="s">
        <v>1479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367</v>
      </c>
      <c r="B187" t="str">
        <f>"7811241"</f>
        <v>7811241</v>
      </c>
      <c r="C187" t="s">
        <v>1480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367</v>
      </c>
      <c r="B188" t="str">
        <f>"7811260"</f>
        <v>7811260</v>
      </c>
      <c r="C188" t="s">
        <v>858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367</v>
      </c>
      <c r="B189" t="str">
        <f>"7811270"</f>
        <v>7811270</v>
      </c>
      <c r="C189" t="s">
        <v>859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367</v>
      </c>
      <c r="B190" t="str">
        <f>"8910000"</f>
        <v>8910000</v>
      </c>
      <c r="C190" t="s">
        <v>881</v>
      </c>
      <c r="D190">
        <v>0</v>
      </c>
      <c r="E190">
        <v>0</v>
      </c>
      <c r="F190">
        <v>0</v>
      </c>
      <c r="G19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A993-B767-43A9-B3FF-6CF239B83F1D}">
  <dimension ref="A1:C4"/>
  <sheetViews>
    <sheetView workbookViewId="0">
      <selection sqref="A1:C4"/>
    </sheetView>
  </sheetViews>
  <sheetFormatPr defaultRowHeight="15.6" x14ac:dyDescent="0.3"/>
  <cols>
    <col min="3" max="3" width="16.453125" customWidth="1"/>
  </cols>
  <sheetData>
    <row r="1" spans="1:3" x14ac:dyDescent="0.3">
      <c r="A1" t="s">
        <v>0</v>
      </c>
      <c r="B1" t="s">
        <v>337</v>
      </c>
      <c r="C1" t="s">
        <v>338</v>
      </c>
    </row>
    <row r="2" spans="1:3" x14ac:dyDescent="0.3">
      <c r="A2" t="s">
        <v>342</v>
      </c>
      <c r="B2" t="s">
        <v>359</v>
      </c>
      <c r="C2" t="s">
        <v>360</v>
      </c>
    </row>
    <row r="3" spans="1:3" x14ac:dyDescent="0.3">
      <c r="A3" t="s">
        <v>339</v>
      </c>
      <c r="B3" t="s">
        <v>361</v>
      </c>
      <c r="C3" t="s">
        <v>1481</v>
      </c>
    </row>
    <row r="4" spans="1:3" x14ac:dyDescent="0.3">
      <c r="A4" t="s">
        <v>345</v>
      </c>
      <c r="B4" t="s">
        <v>595</v>
      </c>
      <c r="C4" t="s">
        <v>1482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7EB0-FA6C-4EE2-AA26-EF01D7484AB3}">
  <dimension ref="A1:G214"/>
  <sheetViews>
    <sheetView topLeftCell="A98" workbookViewId="0">
      <selection activeCell="I22" sqref="I22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365</v>
      </c>
      <c r="E1" t="s">
        <v>366</v>
      </c>
      <c r="F1" t="s">
        <v>3</v>
      </c>
      <c r="G1" t="s">
        <v>4</v>
      </c>
    </row>
    <row r="2" spans="1:7" x14ac:dyDescent="0.3">
      <c r="A2" t="s">
        <v>367</v>
      </c>
      <c r="B2" t="str">
        <f>"1211100"</f>
        <v>1211100</v>
      </c>
      <c r="C2" t="s">
        <v>1483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367</v>
      </c>
      <c r="B3" t="str">
        <f>"12900000"</f>
        <v>12900000</v>
      </c>
      <c r="C3" t="s">
        <v>1484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367</v>
      </c>
      <c r="B4" t="str">
        <f>"1291000"</f>
        <v>1291000</v>
      </c>
      <c r="C4" t="s">
        <v>372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367</v>
      </c>
      <c r="B5" t="str">
        <f>"1301000"</f>
        <v>1301000</v>
      </c>
      <c r="C5" t="s">
        <v>1059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367</v>
      </c>
      <c r="B6" t="str">
        <f>"1309000"</f>
        <v>1309000</v>
      </c>
      <c r="C6" t="s">
        <v>1060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367</v>
      </c>
      <c r="B7" t="str">
        <f>"2441000"</f>
        <v>2441000</v>
      </c>
      <c r="C7" t="s">
        <v>1485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367</v>
      </c>
      <c r="B8" t="str">
        <f>"2442000"</f>
        <v>2442000</v>
      </c>
      <c r="C8" t="s">
        <v>1486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367</v>
      </c>
      <c r="B9" t="str">
        <f>"2444000"</f>
        <v>2444000</v>
      </c>
      <c r="C9" t="s">
        <v>1487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367</v>
      </c>
      <c r="B10" t="str">
        <f>"2451000"</f>
        <v>2451000</v>
      </c>
      <c r="C10" t="s">
        <v>1488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367</v>
      </c>
      <c r="B11" t="str">
        <f>"2721000"</f>
        <v>2721000</v>
      </c>
      <c r="C11" t="s">
        <v>1489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367</v>
      </c>
      <c r="B12" t="str">
        <f>"2744000"</f>
        <v>2744000</v>
      </c>
      <c r="C12" t="s">
        <v>1490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367</v>
      </c>
      <c r="B13" t="str">
        <f>"2751000"</f>
        <v>2751000</v>
      </c>
      <c r="C13" t="s">
        <v>1491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428</v>
      </c>
      <c r="B14" t="str">
        <f>"27"</f>
        <v>27</v>
      </c>
      <c r="C14" t="s">
        <v>1492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367</v>
      </c>
      <c r="B15" t="str">
        <f>"2844100"</f>
        <v>2844100</v>
      </c>
      <c r="C15" t="s">
        <v>1493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367</v>
      </c>
      <c r="B16" t="str">
        <f>"2844200"</f>
        <v>2844200</v>
      </c>
      <c r="C16" t="s">
        <v>1494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367</v>
      </c>
      <c r="B17" t="str">
        <f>"2844400"</f>
        <v>2844400</v>
      </c>
      <c r="C17" t="s">
        <v>1495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367</v>
      </c>
      <c r="B18" t="str">
        <f>"2845100"</f>
        <v>2845100</v>
      </c>
      <c r="C18" t="s">
        <v>1496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367</v>
      </c>
      <c r="B19" t="str">
        <f>"4011000"</f>
        <v>4011000</v>
      </c>
      <c r="C19" t="s">
        <v>385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367</v>
      </c>
      <c r="B20" t="str">
        <f>"4110000"</f>
        <v>4110000</v>
      </c>
      <c r="C20" t="s">
        <v>388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367</v>
      </c>
      <c r="B21" t="str">
        <f>"41910000"</f>
        <v>41910000</v>
      </c>
      <c r="C21" t="s">
        <v>1497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367</v>
      </c>
      <c r="B22" t="str">
        <f>"42100000"</f>
        <v>42100000</v>
      </c>
      <c r="C22" t="s">
        <v>1086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367</v>
      </c>
      <c r="B23" t="str">
        <f>"4211000"</f>
        <v>4211000</v>
      </c>
      <c r="C23" t="s">
        <v>1498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367</v>
      </c>
      <c r="B24" t="str">
        <f>"4218300"</f>
        <v>4218300</v>
      </c>
      <c r="C24" t="s">
        <v>1499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367</v>
      </c>
      <c r="B25" t="str">
        <f>"4221100"</f>
        <v>4221100</v>
      </c>
      <c r="C25" t="s">
        <v>1500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367</v>
      </c>
      <c r="B26" t="str">
        <f>"4221300"</f>
        <v>4221300</v>
      </c>
      <c r="C26" t="s">
        <v>1501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367</v>
      </c>
      <c r="B27" t="str">
        <f>"4241000"</f>
        <v>4241000</v>
      </c>
      <c r="C27" t="s">
        <v>1502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367</v>
      </c>
      <c r="B28" t="str">
        <f>"4242000"</f>
        <v>4242000</v>
      </c>
      <c r="C28" t="s">
        <v>1503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367</v>
      </c>
      <c r="B29" t="str">
        <f>"4245001"</f>
        <v>4245001</v>
      </c>
      <c r="C29" t="s">
        <v>1504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367</v>
      </c>
      <c r="B30" t="str">
        <f>"4245002"</f>
        <v>4245002</v>
      </c>
      <c r="C30" t="s">
        <v>1505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367</v>
      </c>
      <c r="B31" t="str">
        <f>"42500000"</f>
        <v>42500000</v>
      </c>
      <c r="C31" t="s">
        <v>1506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367</v>
      </c>
      <c r="B32" t="str">
        <f>"4311200"</f>
        <v>4311200</v>
      </c>
      <c r="C32" t="s">
        <v>1507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367</v>
      </c>
      <c r="B33" t="str">
        <f>"4312300"</f>
        <v>4312300</v>
      </c>
      <c r="C33" t="s">
        <v>1508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367</v>
      </c>
      <c r="B34" t="str">
        <f>"4313300"</f>
        <v>4313300</v>
      </c>
      <c r="C34" t="s">
        <v>1509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367</v>
      </c>
      <c r="B35" t="str">
        <f>"4313400"</f>
        <v>4313400</v>
      </c>
      <c r="C35" t="s">
        <v>1510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367</v>
      </c>
      <c r="B36" t="str">
        <f>"4318000"</f>
        <v>4318000</v>
      </c>
      <c r="C36" t="s">
        <v>1511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367</v>
      </c>
      <c r="B37" t="str">
        <f>"4428100"</f>
        <v>4428100</v>
      </c>
      <c r="C37" t="s">
        <v>1512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367</v>
      </c>
      <c r="B38" t="str">
        <f>"4428200"</f>
        <v>4428200</v>
      </c>
      <c r="C38" t="s">
        <v>1513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367</v>
      </c>
      <c r="B39" t="str">
        <f>"4428300"</f>
        <v>4428300</v>
      </c>
      <c r="C39" t="s">
        <v>1514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367</v>
      </c>
      <c r="B40" t="str">
        <f>"4432100"</f>
        <v>4432100</v>
      </c>
      <c r="C40" t="s">
        <v>1515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367</v>
      </c>
      <c r="B41" t="str">
        <f>"44400000"</f>
        <v>44400000</v>
      </c>
      <c r="C41" t="s">
        <v>1112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367</v>
      </c>
      <c r="B42" t="str">
        <f>"4441000"</f>
        <v>4441000</v>
      </c>
      <c r="C42" t="s">
        <v>1516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367</v>
      </c>
      <c r="B43" t="str">
        <f>"4471000"</f>
        <v>4471000</v>
      </c>
      <c r="C43" t="s">
        <v>1517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367</v>
      </c>
      <c r="B44" t="str">
        <f>"4471100"</f>
        <v>4471100</v>
      </c>
      <c r="C44" t="s">
        <v>1518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367</v>
      </c>
      <c r="B45" t="str">
        <f>"4471200"</f>
        <v>4471200</v>
      </c>
      <c r="C45" t="s">
        <v>1519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367</v>
      </c>
      <c r="B46" t="str">
        <f>"4472000"</f>
        <v>4472000</v>
      </c>
      <c r="C46" t="s">
        <v>1520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367</v>
      </c>
      <c r="B47" t="str">
        <f>"4472700"</f>
        <v>4472700</v>
      </c>
      <c r="C47" t="s">
        <v>1521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367</v>
      </c>
      <c r="B48" t="str">
        <f>"4472710"</f>
        <v>4472710</v>
      </c>
      <c r="C48" t="s">
        <v>1522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367</v>
      </c>
      <c r="B49" t="str">
        <f>"4472760"</f>
        <v>4472760</v>
      </c>
      <c r="C49" t="s">
        <v>1380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367</v>
      </c>
      <c r="B50" t="str">
        <f>"4473000"</f>
        <v>4473000</v>
      </c>
      <c r="C50" t="s">
        <v>1523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367</v>
      </c>
      <c r="B51" t="str">
        <f>"4478000"</f>
        <v>4478000</v>
      </c>
      <c r="C51" t="s">
        <v>1524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367</v>
      </c>
      <c r="B52" t="str">
        <f>"4478100"</f>
        <v>4478100</v>
      </c>
      <c r="C52" t="s">
        <v>1525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367</v>
      </c>
      <c r="B53" t="str">
        <f>"4612000"</f>
        <v>4612000</v>
      </c>
      <c r="C53" t="s">
        <v>1526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367</v>
      </c>
      <c r="B54" t="str">
        <f>"46860000"</f>
        <v>46860000</v>
      </c>
      <c r="C54" t="s">
        <v>1527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367</v>
      </c>
      <c r="B55" t="str">
        <f>"47100000"</f>
        <v>47100000</v>
      </c>
      <c r="C55" t="s">
        <v>1132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367</v>
      </c>
      <c r="B56" t="str">
        <f>"4710000"</f>
        <v>4710000</v>
      </c>
      <c r="C56" t="s">
        <v>1528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367</v>
      </c>
      <c r="B57" t="str">
        <f>"4711000"</f>
        <v>4711000</v>
      </c>
      <c r="C57" t="s">
        <v>1529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367</v>
      </c>
      <c r="B58" t="str">
        <f>"4711100"</f>
        <v>4711100</v>
      </c>
      <c r="C58" t="s">
        <v>1530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367</v>
      </c>
      <c r="B59" t="str">
        <f>"4711210"</f>
        <v>4711210</v>
      </c>
      <c r="C59" t="s">
        <v>388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367</v>
      </c>
      <c r="B60" t="str">
        <f>"4711300"</f>
        <v>4711300</v>
      </c>
      <c r="C60" t="s">
        <v>1531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367</v>
      </c>
      <c r="B61" t="str">
        <f>"4711520"</f>
        <v>4711520</v>
      </c>
      <c r="C61" t="s">
        <v>1532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367</v>
      </c>
      <c r="B62" t="str">
        <f>"4711600"</f>
        <v>4711600</v>
      </c>
      <c r="C62" t="s">
        <v>1533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367</v>
      </c>
      <c r="B63" t="str">
        <f>"4711610"</f>
        <v>4711610</v>
      </c>
      <c r="C63" t="s">
        <v>1534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367</v>
      </c>
      <c r="B64" t="str">
        <f>"4711620"</f>
        <v>4711620</v>
      </c>
      <c r="C64" t="s">
        <v>1535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367</v>
      </c>
      <c r="B65" t="str">
        <f>"4711630"</f>
        <v>4711630</v>
      </c>
      <c r="C65" t="s">
        <v>1135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367</v>
      </c>
      <c r="B66" t="str">
        <f>"471163"</f>
        <v>471163</v>
      </c>
      <c r="C66" t="s">
        <v>1536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367</v>
      </c>
      <c r="B67" t="str">
        <f>"4711900"</f>
        <v>4711900</v>
      </c>
      <c r="C67" t="s">
        <v>1137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367</v>
      </c>
      <c r="B68" t="str">
        <f>"4712260"</f>
        <v>4712260</v>
      </c>
      <c r="C68" t="s">
        <v>1537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367</v>
      </c>
      <c r="B69" t="str">
        <f>"4712261"</f>
        <v>4712261</v>
      </c>
      <c r="C69" t="s">
        <v>1538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367</v>
      </c>
      <c r="B70" t="str">
        <f>"4731000"</f>
        <v>4731000</v>
      </c>
      <c r="C70" t="s">
        <v>1539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367</v>
      </c>
      <c r="B71" t="str">
        <f>"4732000"</f>
        <v>4732000</v>
      </c>
      <c r="C71" t="s">
        <v>1540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367</v>
      </c>
      <c r="B72" t="str">
        <f>"4760000"</f>
        <v>4760000</v>
      </c>
      <c r="C72" t="s">
        <v>1541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367</v>
      </c>
      <c r="B73" t="str">
        <f>"4771000"</f>
        <v>4771000</v>
      </c>
      <c r="C73" t="s">
        <v>1542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367</v>
      </c>
      <c r="B74" t="str">
        <f>"4851000"</f>
        <v>4851000</v>
      </c>
      <c r="C74" t="s">
        <v>1543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367</v>
      </c>
      <c r="B75" t="str">
        <f>"51410000"</f>
        <v>51410000</v>
      </c>
      <c r="C75" t="s">
        <v>1544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367</v>
      </c>
      <c r="B76" t="str">
        <f>"5210001"</f>
        <v>5210001</v>
      </c>
      <c r="C76" t="s">
        <v>1545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367</v>
      </c>
      <c r="B77" t="str">
        <f>"5210002"</f>
        <v>5210002</v>
      </c>
      <c r="C77" t="s">
        <v>1546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367</v>
      </c>
      <c r="B78" t="str">
        <f>"5210003"</f>
        <v>5210003</v>
      </c>
      <c r="C78" t="s">
        <v>1547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367</v>
      </c>
      <c r="B79" t="str">
        <f>"5210004"</f>
        <v>5210004</v>
      </c>
      <c r="C79" t="s">
        <v>1548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367</v>
      </c>
      <c r="B80" t="str">
        <f>"5210005"</f>
        <v>5210005</v>
      </c>
      <c r="C80" t="s">
        <v>1549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367</v>
      </c>
      <c r="B81" t="str">
        <f>"5210006"</f>
        <v>5210006</v>
      </c>
      <c r="C81" t="s">
        <v>1550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367</v>
      </c>
      <c r="B82" t="str">
        <f>"5210007"</f>
        <v>5210007</v>
      </c>
      <c r="C82" t="s">
        <v>1551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367</v>
      </c>
      <c r="B83" t="str">
        <f>"5210008"</f>
        <v>5210008</v>
      </c>
      <c r="C83" t="s">
        <v>1552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367</v>
      </c>
      <c r="B84" t="str">
        <f>"5210011"</f>
        <v>5210011</v>
      </c>
      <c r="C84" t="s">
        <v>1553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367</v>
      </c>
      <c r="B85" t="str">
        <f>"5210012"</f>
        <v>5210012</v>
      </c>
      <c r="C85" t="s">
        <v>1554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367</v>
      </c>
      <c r="B86" t="str">
        <f>"5210013"</f>
        <v>5210013</v>
      </c>
      <c r="C86" t="s">
        <v>1555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367</v>
      </c>
      <c r="B87" t="str">
        <f>"5210014"</f>
        <v>5210014</v>
      </c>
      <c r="C87" t="s">
        <v>1556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367</v>
      </c>
      <c r="B88" t="str">
        <f>"5211105"</f>
        <v>5211105</v>
      </c>
      <c r="C88" t="s">
        <v>648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367</v>
      </c>
      <c r="B89" t="str">
        <f>"5711000"</f>
        <v>5711000</v>
      </c>
      <c r="C89" t="s">
        <v>1557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367</v>
      </c>
      <c r="B90" t="str">
        <f>"5851300"</f>
        <v>5851300</v>
      </c>
      <c r="C90" t="s">
        <v>1558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367</v>
      </c>
      <c r="B91" t="str">
        <f>"60400000"</f>
        <v>60400000</v>
      </c>
      <c r="C91" t="s">
        <v>1559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367</v>
      </c>
      <c r="B92" t="str">
        <f>"6043000"</f>
        <v>6043000</v>
      </c>
      <c r="C92" t="s">
        <v>1560</v>
      </c>
      <c r="D92">
        <v>0</v>
      </c>
      <c r="E92">
        <v>0</v>
      </c>
      <c r="F92">
        <v>0</v>
      </c>
      <c r="G92">
        <v>0</v>
      </c>
    </row>
    <row r="93" spans="1:7" x14ac:dyDescent="0.3">
      <c r="A93" t="s">
        <v>367</v>
      </c>
      <c r="B93" t="str">
        <f>"6047000"</f>
        <v>6047000</v>
      </c>
      <c r="C93" t="s">
        <v>1561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367</v>
      </c>
      <c r="B94" t="str">
        <f>"6050000"</f>
        <v>6050000</v>
      </c>
      <c r="C94" t="s">
        <v>1562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367</v>
      </c>
      <c r="B95" t="str">
        <f>"6051000"</f>
        <v>6051000</v>
      </c>
      <c r="C95" t="s">
        <v>1563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367</v>
      </c>
      <c r="B96" t="str">
        <f>"6052000"</f>
        <v>6052000</v>
      </c>
      <c r="C96" t="s">
        <v>1564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367</v>
      </c>
      <c r="B97" t="str">
        <f>"6053000"</f>
        <v>6053000</v>
      </c>
      <c r="C97" t="s">
        <v>1565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367</v>
      </c>
      <c r="B98" t="str">
        <f>"6055200"</f>
        <v>6055200</v>
      </c>
      <c r="C98" t="s">
        <v>1162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367</v>
      </c>
      <c r="B99" t="str">
        <f>"6056000"</f>
        <v>6056000</v>
      </c>
      <c r="C99" t="s">
        <v>1566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367</v>
      </c>
      <c r="B100" t="str">
        <f>"6056800"</f>
        <v>6056800</v>
      </c>
      <c r="C100" t="s">
        <v>1567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367</v>
      </c>
      <c r="B101" t="str">
        <f>"6058000"</f>
        <v>6058000</v>
      </c>
      <c r="C101" t="s">
        <v>1568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428</v>
      </c>
      <c r="B102" t="str">
        <f>"60"</f>
        <v>60</v>
      </c>
      <c r="C102" t="s">
        <v>1569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367</v>
      </c>
      <c r="B103" t="str">
        <f>"6161000"</f>
        <v>6161000</v>
      </c>
      <c r="C103" t="s">
        <v>1570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367</v>
      </c>
      <c r="B104" t="str">
        <f>"61810000"</f>
        <v>61810000</v>
      </c>
      <c r="C104" t="s">
        <v>1571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367</v>
      </c>
      <c r="B105" t="str">
        <f>"6181100"</f>
        <v>6181100</v>
      </c>
      <c r="C105" t="s">
        <v>1572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367</v>
      </c>
      <c r="B106" t="str">
        <f>"61830000"</f>
        <v>61830000</v>
      </c>
      <c r="C106" t="s">
        <v>1573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367</v>
      </c>
      <c r="B107" t="str">
        <f>"6183000"</f>
        <v>6183000</v>
      </c>
      <c r="C107" t="s">
        <v>1574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428</v>
      </c>
      <c r="B108" t="str">
        <f>"61"</f>
        <v>61</v>
      </c>
      <c r="C108" t="s">
        <v>1575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367</v>
      </c>
      <c r="B109" t="str">
        <f>"6222000"</f>
        <v>6222000</v>
      </c>
      <c r="C109" t="s">
        <v>1576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367</v>
      </c>
      <c r="B110" t="str">
        <f>"6241100"</f>
        <v>6241100</v>
      </c>
      <c r="C110" t="s">
        <v>1577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367</v>
      </c>
      <c r="B111" t="str">
        <f>"6243300"</f>
        <v>6243300</v>
      </c>
      <c r="C111" t="s">
        <v>1578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367</v>
      </c>
      <c r="B112" t="str">
        <f>"6248000"</f>
        <v>6248000</v>
      </c>
      <c r="C112" t="s">
        <v>1579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367</v>
      </c>
      <c r="B113" t="str">
        <f>"62500000"</f>
        <v>62500000</v>
      </c>
      <c r="C113" t="s">
        <v>1580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367</v>
      </c>
      <c r="B114" t="str">
        <f>"6252000"</f>
        <v>6252000</v>
      </c>
      <c r="C114" t="s">
        <v>1581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367</v>
      </c>
      <c r="B115" t="str">
        <f>"6254100"</f>
        <v>6254100</v>
      </c>
      <c r="C115" t="s">
        <v>1582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367</v>
      </c>
      <c r="B116" t="str">
        <f>"62560000"</f>
        <v>62560000</v>
      </c>
      <c r="C116" t="s">
        <v>1583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367</v>
      </c>
      <c r="B117" t="str">
        <f>"62570000"</f>
        <v>62570000</v>
      </c>
      <c r="C117" t="s">
        <v>1584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367</v>
      </c>
      <c r="B118" t="str">
        <f>"62620000"</f>
        <v>62620000</v>
      </c>
      <c r="C118" t="s">
        <v>1585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367</v>
      </c>
      <c r="B119" t="str">
        <f>"6265200"</f>
        <v>6265200</v>
      </c>
      <c r="C119" t="s">
        <v>1586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367</v>
      </c>
      <c r="B120" t="str">
        <f>"6266000"</f>
        <v>6266000</v>
      </c>
      <c r="C120" t="s">
        <v>1587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367</v>
      </c>
      <c r="B121" t="str">
        <f>"62700000"</f>
        <v>62700000</v>
      </c>
      <c r="C121" t="s">
        <v>1588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367</v>
      </c>
      <c r="B122" t="str">
        <f>"6271200"</f>
        <v>6271200</v>
      </c>
      <c r="C122" t="s">
        <v>1205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367</v>
      </c>
      <c r="B123" t="str">
        <f>"6272000"</f>
        <v>6272000</v>
      </c>
      <c r="C123" t="s">
        <v>1589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367</v>
      </c>
      <c r="B124" t="str">
        <f>"62800000"</f>
        <v>62800000</v>
      </c>
      <c r="C124" t="s">
        <v>1590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367</v>
      </c>
      <c r="B125" t="str">
        <f>"6281000"</f>
        <v>6281000</v>
      </c>
      <c r="C125" t="s">
        <v>1591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367</v>
      </c>
      <c r="B126" t="str">
        <f>"6288000"</f>
        <v>6288000</v>
      </c>
      <c r="C126" t="s">
        <v>1592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367</v>
      </c>
      <c r="B127" t="str">
        <f>"6318100"</f>
        <v>6318100</v>
      </c>
      <c r="C127" t="s">
        <v>1593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367</v>
      </c>
      <c r="B128" t="str">
        <f>"6324400"</f>
        <v>6324400</v>
      </c>
      <c r="C128" t="s">
        <v>1594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367</v>
      </c>
      <c r="B129" t="str">
        <f>"6324800"</f>
        <v>6324800</v>
      </c>
      <c r="C129" t="s">
        <v>1595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367</v>
      </c>
      <c r="B130" t="str">
        <f>"6328000"</f>
        <v>6328000</v>
      </c>
      <c r="C130" t="s">
        <v>1425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367</v>
      </c>
      <c r="B131" t="str">
        <f>"6328100"</f>
        <v>6328100</v>
      </c>
      <c r="C131" t="s">
        <v>1596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367</v>
      </c>
      <c r="B132" t="str">
        <f>"6328200"</f>
        <v>6328200</v>
      </c>
      <c r="C132" t="s">
        <v>1597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367</v>
      </c>
      <c r="B133" t="str">
        <f>"6381000"</f>
        <v>6381000</v>
      </c>
      <c r="C133" t="s">
        <v>1237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367</v>
      </c>
      <c r="B134" t="str">
        <f>"6383000"</f>
        <v>6383000</v>
      </c>
      <c r="C134" t="s">
        <v>1584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367</v>
      </c>
      <c r="B135" t="str">
        <f>"6384100"</f>
        <v>6384100</v>
      </c>
      <c r="C135" t="s">
        <v>1598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367</v>
      </c>
      <c r="B136" t="str">
        <f>"6412000"</f>
        <v>6412000</v>
      </c>
      <c r="C136" t="s">
        <v>1599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367</v>
      </c>
      <c r="B137" t="str">
        <f>"6413000"</f>
        <v>6413000</v>
      </c>
      <c r="C137" t="s">
        <v>1600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367</v>
      </c>
      <c r="B138" t="str">
        <f>"6413100"</f>
        <v>6413100</v>
      </c>
      <c r="C138" t="s">
        <v>1601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367</v>
      </c>
      <c r="B139" t="str">
        <f>"64140000"</f>
        <v>64140000</v>
      </c>
      <c r="C139" t="s">
        <v>1602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367</v>
      </c>
      <c r="B140" t="str">
        <f>"6418000"</f>
        <v>6418000</v>
      </c>
      <c r="C140" t="s">
        <v>1603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367</v>
      </c>
      <c r="B141" t="str">
        <f>"6461000"</f>
        <v>6461000</v>
      </c>
      <c r="C141" t="s">
        <v>1604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367</v>
      </c>
      <c r="B142" t="str">
        <f>"6462000"</f>
        <v>6462000</v>
      </c>
      <c r="C142" t="s">
        <v>1605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367</v>
      </c>
      <c r="B143" t="str">
        <f>"6462100"</f>
        <v>6462100</v>
      </c>
      <c r="C143" t="s">
        <v>1606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367</v>
      </c>
      <c r="B144" t="str">
        <f>"6464100"</f>
        <v>6464100</v>
      </c>
      <c r="C144" t="s">
        <v>1607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367</v>
      </c>
      <c r="B145" t="str">
        <f>"6468100"</f>
        <v>6468100</v>
      </c>
      <c r="C145" t="s">
        <v>1608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367</v>
      </c>
      <c r="B146" t="str">
        <f>"6468200"</f>
        <v>6468200</v>
      </c>
      <c r="C146" t="s">
        <v>1609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367</v>
      </c>
      <c r="B147" t="str">
        <f>"6478000"</f>
        <v>6478000</v>
      </c>
      <c r="C147" t="s">
        <v>1610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t="s">
        <v>367</v>
      </c>
      <c r="B148" t="str">
        <f>"6478100"</f>
        <v>6478100</v>
      </c>
      <c r="C148" t="s">
        <v>1611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367</v>
      </c>
      <c r="B149" t="str">
        <f>"65600000"</f>
        <v>65600000</v>
      </c>
      <c r="C149" t="s">
        <v>1612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367</v>
      </c>
      <c r="B150" t="str">
        <f>"6560000"</f>
        <v>6560000</v>
      </c>
      <c r="C150" t="s">
        <v>1613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367</v>
      </c>
      <c r="B151" t="str">
        <f>"658100"</f>
        <v>658100</v>
      </c>
      <c r="C151" t="s">
        <v>1614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367</v>
      </c>
      <c r="B152" t="str">
        <f>"6582100"</f>
        <v>6582100</v>
      </c>
      <c r="C152" t="s">
        <v>1615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367</v>
      </c>
      <c r="B153" t="str">
        <f>"6588000"</f>
        <v>6588000</v>
      </c>
      <c r="C153" t="s">
        <v>496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367</v>
      </c>
      <c r="B154" t="str">
        <f>"6611000"</f>
        <v>6611000</v>
      </c>
      <c r="C154" t="s">
        <v>1616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367</v>
      </c>
      <c r="B155" t="str">
        <f>"6611100"</f>
        <v>6611100</v>
      </c>
      <c r="C155" t="s">
        <v>1617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367</v>
      </c>
      <c r="B156" t="str">
        <f>"66112000"</f>
        <v>66112000</v>
      </c>
      <c r="C156" t="s">
        <v>648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367</v>
      </c>
      <c r="B157" t="str">
        <f>"6612100"</f>
        <v>6612100</v>
      </c>
      <c r="C157" t="s">
        <v>1618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367</v>
      </c>
      <c r="B158" t="str">
        <f>"66122000"</f>
        <v>66122000</v>
      </c>
      <c r="C158" t="s">
        <v>648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367</v>
      </c>
      <c r="B159" t="str">
        <f>"6612200"</f>
        <v>6612200</v>
      </c>
      <c r="C159" t="s">
        <v>1619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367</v>
      </c>
      <c r="B160" t="str">
        <f>"6613100"</f>
        <v>6613100</v>
      </c>
      <c r="C160" t="s">
        <v>507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367</v>
      </c>
      <c r="B161" t="str">
        <f>"6613200"</f>
        <v>6613200</v>
      </c>
      <c r="C161" t="s">
        <v>506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367</v>
      </c>
      <c r="B162" t="str">
        <f>"6614100"</f>
        <v>6614100</v>
      </c>
      <c r="C162" t="s">
        <v>1620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367</v>
      </c>
      <c r="B163" t="str">
        <f>"6615100"</f>
        <v>6615100</v>
      </c>
      <c r="C163" t="s">
        <v>1621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367</v>
      </c>
      <c r="B164" t="str">
        <f>"6615200"</f>
        <v>6615200</v>
      </c>
      <c r="C164" t="s">
        <v>1622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t="s">
        <v>367</v>
      </c>
      <c r="B165" t="str">
        <f>"6616100"</f>
        <v>6616100</v>
      </c>
      <c r="C165" t="s">
        <v>1447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367</v>
      </c>
      <c r="B166" t="str">
        <f>"6616200"</f>
        <v>6616200</v>
      </c>
      <c r="C166" t="s">
        <v>1448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367</v>
      </c>
      <c r="B167" t="str">
        <f>"6631100"</f>
        <v>6631100</v>
      </c>
      <c r="C167" t="s">
        <v>1623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367</v>
      </c>
      <c r="B168" t="str">
        <f>"6631200"</f>
        <v>6631200</v>
      </c>
      <c r="C168" t="s">
        <v>1624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367</v>
      </c>
      <c r="B169" t="str">
        <f>"6631300"</f>
        <v>6631300</v>
      </c>
      <c r="C169" t="s">
        <v>1625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367</v>
      </c>
      <c r="B170" t="str">
        <f>"6632100"</f>
        <v>6632100</v>
      </c>
      <c r="C170" t="s">
        <v>1626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367</v>
      </c>
      <c r="B171" t="str">
        <f>"6632200"</f>
        <v>6632200</v>
      </c>
      <c r="C171" t="s">
        <v>1627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367</v>
      </c>
      <c r="B172" t="str">
        <f>"66342000"</f>
        <v>66342000</v>
      </c>
      <c r="C172" t="s">
        <v>648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367</v>
      </c>
      <c r="B173" t="str">
        <f>"6635100"</f>
        <v>6635100</v>
      </c>
      <c r="C173" t="s">
        <v>1628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367</v>
      </c>
      <c r="B174" t="str">
        <f>"6635200"</f>
        <v>6635200</v>
      </c>
      <c r="C174" t="s">
        <v>1293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367</v>
      </c>
      <c r="B175" t="str">
        <f>"6638000"</f>
        <v>6638000</v>
      </c>
      <c r="C175" t="s">
        <v>1629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367</v>
      </c>
      <c r="B176" t="str">
        <f>"6638100"</f>
        <v>6638100</v>
      </c>
      <c r="C176" t="s">
        <v>1630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367</v>
      </c>
      <c r="B177" t="str">
        <f>"6641000"</f>
        <v>6641000</v>
      </c>
      <c r="C177" t="s">
        <v>1631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367</v>
      </c>
      <c r="B178" t="str">
        <f>"6641100"</f>
        <v>6641100</v>
      </c>
      <c r="C178" t="s">
        <v>1632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367</v>
      </c>
      <c r="B179" t="str">
        <f>"6660000"</f>
        <v>6660000</v>
      </c>
      <c r="C179" t="s">
        <v>1633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367</v>
      </c>
      <c r="B180" t="str">
        <f>"6684500"</f>
        <v>6684500</v>
      </c>
      <c r="C180" t="s">
        <v>1634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367</v>
      </c>
      <c r="B181" t="str">
        <f>"6685100"</f>
        <v>6685100</v>
      </c>
      <c r="C181" t="s">
        <v>1635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367</v>
      </c>
      <c r="B182" t="str">
        <f>"68112000"</f>
        <v>68112000</v>
      </c>
      <c r="C182" t="s">
        <v>1636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367</v>
      </c>
      <c r="B183" t="str">
        <f>"6813000"</f>
        <v>6813000</v>
      </c>
      <c r="C183" t="s">
        <v>1637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367</v>
      </c>
      <c r="B184" t="str">
        <f>"7060000"</f>
        <v>7060000</v>
      </c>
      <c r="C184" t="s">
        <v>529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367</v>
      </c>
      <c r="B185" t="str">
        <f>"7060001"</f>
        <v>7060001</v>
      </c>
      <c r="C185" t="s">
        <v>1322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367</v>
      </c>
      <c r="B186" t="str">
        <f>"7061000"</f>
        <v>7061000</v>
      </c>
      <c r="C186" t="s">
        <v>1638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367</v>
      </c>
      <c r="B187" t="str">
        <f>"7061110"</f>
        <v>7061110</v>
      </c>
      <c r="C187" t="s">
        <v>1639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367</v>
      </c>
      <c r="B188" t="str">
        <f>"7061120"</f>
        <v>7061120</v>
      </c>
      <c r="C188" t="s">
        <v>1640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367</v>
      </c>
      <c r="B189" t="str">
        <f>"7062000"</f>
        <v>7062000</v>
      </c>
      <c r="C189" t="s">
        <v>1641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367</v>
      </c>
      <c r="B190" t="str">
        <f>"7063000"</f>
        <v>7063000</v>
      </c>
      <c r="C190" t="s">
        <v>1642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367</v>
      </c>
      <c r="B191" t="str">
        <f>"7064000"</f>
        <v>7064000</v>
      </c>
      <c r="C191" t="s">
        <v>1643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367</v>
      </c>
      <c r="B192" t="str">
        <f>"7065000"</f>
        <v>7065000</v>
      </c>
      <c r="C192" t="s">
        <v>1644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367</v>
      </c>
      <c r="B193" t="str">
        <f>"7065100"</f>
        <v>7065100</v>
      </c>
      <c r="C193" t="s">
        <v>1645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367</v>
      </c>
      <c r="B194" t="str">
        <f>"7066000"</f>
        <v>7066000</v>
      </c>
      <c r="C194" t="s">
        <v>1646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t="s">
        <v>367</v>
      </c>
      <c r="B195" t="str">
        <f>"7067000"</f>
        <v>7067000</v>
      </c>
      <c r="C195" t="s">
        <v>1647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t="s">
        <v>367</v>
      </c>
      <c r="B196" t="str">
        <f>"7068000"</f>
        <v>7068000</v>
      </c>
      <c r="C196" t="s">
        <v>1648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t="s">
        <v>367</v>
      </c>
      <c r="B197" t="str">
        <f>"7069000"</f>
        <v>7069000</v>
      </c>
      <c r="C197" t="s">
        <v>1649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367</v>
      </c>
      <c r="B198" t="str">
        <f>"7078100"</f>
        <v>7078100</v>
      </c>
      <c r="C198" t="s">
        <v>865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t="s">
        <v>367</v>
      </c>
      <c r="B199" t="str">
        <f>"751100"</f>
        <v>751100</v>
      </c>
      <c r="C199" t="s">
        <v>1650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t="s">
        <v>367</v>
      </c>
      <c r="B200" t="str">
        <f>"75600000"</f>
        <v>75600000</v>
      </c>
      <c r="C200" t="s">
        <v>1651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367</v>
      </c>
      <c r="B201" t="str">
        <f>"7561000"</f>
        <v>7561000</v>
      </c>
      <c r="C201" t="s">
        <v>1652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367</v>
      </c>
      <c r="B202" t="str">
        <f>"75800000"</f>
        <v>75800000</v>
      </c>
      <c r="C202" t="s">
        <v>1653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367</v>
      </c>
      <c r="B203" t="str">
        <f>"7588000"</f>
        <v>7588000</v>
      </c>
      <c r="C203" t="s">
        <v>1654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367</v>
      </c>
      <c r="B204" t="str">
        <f>"7810400"</f>
        <v>7810400</v>
      </c>
      <c r="C204" t="s">
        <v>1655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367</v>
      </c>
      <c r="B205" t="str">
        <f>"7810410"</f>
        <v>7810410</v>
      </c>
      <c r="C205" t="s">
        <v>1656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367</v>
      </c>
      <c r="B206" t="str">
        <f>"7811200"</f>
        <v>7811200</v>
      </c>
      <c r="C206" t="s">
        <v>1657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367</v>
      </c>
      <c r="B207" t="str">
        <f>"7811260"</f>
        <v>7811260</v>
      </c>
      <c r="C207" t="s">
        <v>1658</v>
      </c>
      <c r="D207">
        <v>0</v>
      </c>
      <c r="E207">
        <v>0</v>
      </c>
      <c r="F207">
        <v>0</v>
      </c>
      <c r="G207">
        <v>0</v>
      </c>
    </row>
    <row r="208" spans="1:7" x14ac:dyDescent="0.3">
      <c r="A208" t="s">
        <v>367</v>
      </c>
      <c r="B208" t="str">
        <f>"7811270"</f>
        <v>7811270</v>
      </c>
      <c r="C208" t="s">
        <v>1659</v>
      </c>
      <c r="D208">
        <v>0</v>
      </c>
      <c r="E208">
        <v>0</v>
      </c>
      <c r="F208">
        <v>0</v>
      </c>
      <c r="G208">
        <v>0</v>
      </c>
    </row>
    <row r="209" spans="1:7" x14ac:dyDescent="0.3">
      <c r="A209" t="s">
        <v>367</v>
      </c>
      <c r="B209" t="str">
        <f>"7811280"</f>
        <v>7811280</v>
      </c>
      <c r="C209" t="s">
        <v>1660</v>
      </c>
      <c r="D209">
        <v>0</v>
      </c>
      <c r="E209">
        <v>0</v>
      </c>
      <c r="F209">
        <v>0</v>
      </c>
      <c r="G209">
        <v>0</v>
      </c>
    </row>
    <row r="210" spans="1:7" x14ac:dyDescent="0.3">
      <c r="A210" t="s">
        <v>428</v>
      </c>
      <c r="B210" t="str">
        <f>"7"</f>
        <v>7</v>
      </c>
      <c r="C210" t="s">
        <v>1661</v>
      </c>
      <c r="D210">
        <v>0</v>
      </c>
      <c r="E210">
        <v>0</v>
      </c>
      <c r="F210">
        <v>0</v>
      </c>
      <c r="G210">
        <v>0</v>
      </c>
    </row>
    <row r="211" spans="1:7" x14ac:dyDescent="0.3">
      <c r="A211" t="s">
        <v>367</v>
      </c>
      <c r="B211" t="str">
        <f>"8120000"</f>
        <v>8120000</v>
      </c>
      <c r="C211" t="s">
        <v>1662</v>
      </c>
      <c r="D211">
        <v>0</v>
      </c>
      <c r="E211">
        <v>0</v>
      </c>
      <c r="F211">
        <v>0</v>
      </c>
      <c r="G211">
        <v>0</v>
      </c>
    </row>
    <row r="212" spans="1:7" x14ac:dyDescent="0.3">
      <c r="A212" t="s">
        <v>367</v>
      </c>
      <c r="B212" t="str">
        <f>"8220000"</f>
        <v>8220000</v>
      </c>
      <c r="C212" t="s">
        <v>1663</v>
      </c>
      <c r="D212">
        <v>0</v>
      </c>
      <c r="E212">
        <v>0</v>
      </c>
      <c r="F212">
        <v>0</v>
      </c>
      <c r="G212">
        <v>0</v>
      </c>
    </row>
    <row r="213" spans="1:7" x14ac:dyDescent="0.3">
      <c r="A213" t="s">
        <v>367</v>
      </c>
      <c r="B213" t="str">
        <f>"86210000"</f>
        <v>86210000</v>
      </c>
      <c r="C213" t="s">
        <v>1664</v>
      </c>
      <c r="D213">
        <v>0</v>
      </c>
      <c r="E213">
        <v>0</v>
      </c>
      <c r="F213">
        <v>0</v>
      </c>
      <c r="G213">
        <v>0</v>
      </c>
    </row>
    <row r="214" spans="1:7" x14ac:dyDescent="0.3">
      <c r="A214" t="s">
        <v>367</v>
      </c>
      <c r="B214" t="str">
        <f>"89000000"</f>
        <v>89000000</v>
      </c>
      <c r="C214" t="s">
        <v>1665</v>
      </c>
      <c r="D214">
        <v>0</v>
      </c>
      <c r="E214">
        <v>0</v>
      </c>
      <c r="F214">
        <v>0</v>
      </c>
      <c r="G21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EB9E-DA3E-40A9-A309-B3F6F50D2BB3}">
  <dimension ref="A1:F127"/>
  <sheetViews>
    <sheetView topLeftCell="A109" workbookViewId="0">
      <selection activeCell="I118" sqref="I118"/>
    </sheetView>
  </sheetViews>
  <sheetFormatPr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tr">
        <f>"4011001"</f>
        <v>4011001</v>
      </c>
      <c r="C2" t="s">
        <v>1666</v>
      </c>
      <c r="D2">
        <v>0</v>
      </c>
      <c r="E2">
        <v>0</v>
      </c>
      <c r="F2">
        <v>0</v>
      </c>
    </row>
    <row r="3" spans="1:6" x14ac:dyDescent="0.3">
      <c r="A3" t="s">
        <v>6</v>
      </c>
      <c r="B3" t="str">
        <f>"4011002"</f>
        <v>4011002</v>
      </c>
      <c r="C3" t="s">
        <v>313</v>
      </c>
      <c r="D3">
        <v>0</v>
      </c>
      <c r="E3">
        <v>0</v>
      </c>
      <c r="F3">
        <v>0</v>
      </c>
    </row>
    <row r="4" spans="1:6" x14ac:dyDescent="0.3">
      <c r="A4" t="s">
        <v>6</v>
      </c>
      <c r="B4" t="str">
        <f>"4011003"</f>
        <v>4011003</v>
      </c>
      <c r="C4" t="s">
        <v>1667</v>
      </c>
      <c r="D4">
        <v>0</v>
      </c>
      <c r="E4">
        <v>0</v>
      </c>
      <c r="F4">
        <v>0</v>
      </c>
    </row>
    <row r="5" spans="1:6" x14ac:dyDescent="0.3">
      <c r="A5" t="s">
        <v>6</v>
      </c>
      <c r="B5" t="str">
        <f>"4011004"</f>
        <v>4011004</v>
      </c>
      <c r="C5" t="s">
        <v>1668</v>
      </c>
      <c r="D5">
        <v>0</v>
      </c>
      <c r="E5">
        <v>0</v>
      </c>
      <c r="F5">
        <v>0</v>
      </c>
    </row>
    <row r="6" spans="1:6" x14ac:dyDescent="0.3">
      <c r="A6" t="s">
        <v>6</v>
      </c>
      <c r="B6" t="str">
        <f>"4011005"</f>
        <v>4011005</v>
      </c>
      <c r="C6" t="s">
        <v>1669</v>
      </c>
      <c r="D6">
        <v>0</v>
      </c>
      <c r="E6">
        <v>0</v>
      </c>
      <c r="F6">
        <v>0</v>
      </c>
    </row>
    <row r="7" spans="1:6" x14ac:dyDescent="0.3">
      <c r="A7" t="s">
        <v>6</v>
      </c>
      <c r="B7" t="str">
        <f>"4011006"</f>
        <v>4011006</v>
      </c>
      <c r="C7" t="s">
        <v>1670</v>
      </c>
      <c r="D7">
        <v>0</v>
      </c>
      <c r="E7">
        <v>0</v>
      </c>
      <c r="F7">
        <v>0</v>
      </c>
    </row>
    <row r="8" spans="1:6" x14ac:dyDescent="0.3">
      <c r="A8" t="s">
        <v>6</v>
      </c>
      <c r="B8" t="str">
        <f>"4011007"</f>
        <v>4011007</v>
      </c>
      <c r="C8" t="s">
        <v>1671</v>
      </c>
      <c r="D8">
        <v>0</v>
      </c>
      <c r="E8">
        <v>0</v>
      </c>
      <c r="F8">
        <v>0</v>
      </c>
    </row>
    <row r="9" spans="1:6" x14ac:dyDescent="0.3">
      <c r="A9" t="s">
        <v>6</v>
      </c>
      <c r="B9" t="str">
        <f>"4011008"</f>
        <v>4011008</v>
      </c>
      <c r="C9" t="s">
        <v>1672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tr">
        <f>"4011009"</f>
        <v>4011009</v>
      </c>
      <c r="C10" t="s">
        <v>1673</v>
      </c>
      <c r="D10">
        <v>0</v>
      </c>
      <c r="E10">
        <v>0</v>
      </c>
      <c r="F10">
        <v>0</v>
      </c>
    </row>
    <row r="11" spans="1:6" x14ac:dyDescent="0.3">
      <c r="A11" t="s">
        <v>6</v>
      </c>
      <c r="B11" t="str">
        <f>"4011010"</f>
        <v>4011010</v>
      </c>
      <c r="C11" t="s">
        <v>1674</v>
      </c>
      <c r="D11">
        <v>0</v>
      </c>
      <c r="E11">
        <v>0</v>
      </c>
      <c r="F11">
        <v>0</v>
      </c>
    </row>
    <row r="12" spans="1:6" x14ac:dyDescent="0.3">
      <c r="A12" t="s">
        <v>6</v>
      </c>
      <c r="B12" t="str">
        <f>"4011011"</f>
        <v>4011011</v>
      </c>
      <c r="C12" t="s">
        <v>1675</v>
      </c>
      <c r="D12">
        <v>0</v>
      </c>
      <c r="E12">
        <v>0</v>
      </c>
      <c r="F12">
        <v>0</v>
      </c>
    </row>
    <row r="13" spans="1:6" x14ac:dyDescent="0.3">
      <c r="A13" t="s">
        <v>6</v>
      </c>
      <c r="B13" t="str">
        <f>"4011012"</f>
        <v>4011012</v>
      </c>
      <c r="C13" t="s">
        <v>1676</v>
      </c>
      <c r="D13">
        <v>0</v>
      </c>
      <c r="E13">
        <v>0</v>
      </c>
      <c r="F13">
        <v>0</v>
      </c>
    </row>
    <row r="14" spans="1:6" x14ac:dyDescent="0.3">
      <c r="A14" t="s">
        <v>6</v>
      </c>
      <c r="B14" t="str">
        <f>"4011013"</f>
        <v>4011013</v>
      </c>
      <c r="C14" t="s">
        <v>1677</v>
      </c>
      <c r="D14">
        <v>0</v>
      </c>
      <c r="E14">
        <v>0</v>
      </c>
      <c r="F14">
        <v>0</v>
      </c>
    </row>
    <row r="15" spans="1:6" x14ac:dyDescent="0.3">
      <c r="A15" t="s">
        <v>6</v>
      </c>
      <c r="B15" t="str">
        <f>"4011014"</f>
        <v>4011014</v>
      </c>
      <c r="C15" t="s">
        <v>1678</v>
      </c>
      <c r="D15">
        <v>0</v>
      </c>
      <c r="E15">
        <v>0</v>
      </c>
      <c r="F15">
        <v>0</v>
      </c>
    </row>
    <row r="16" spans="1:6" x14ac:dyDescent="0.3">
      <c r="A16" t="s">
        <v>6</v>
      </c>
      <c r="B16" t="str">
        <f>"4011015"</f>
        <v>4011015</v>
      </c>
      <c r="C16" t="s">
        <v>1679</v>
      </c>
      <c r="D16">
        <v>0</v>
      </c>
      <c r="E16">
        <v>0</v>
      </c>
      <c r="F16">
        <v>0</v>
      </c>
    </row>
    <row r="17" spans="1:6" x14ac:dyDescent="0.3">
      <c r="A17" t="s">
        <v>6</v>
      </c>
      <c r="B17" t="str">
        <f>"4011016"</f>
        <v>4011016</v>
      </c>
      <c r="C17" t="s">
        <v>1680</v>
      </c>
      <c r="D17">
        <v>0</v>
      </c>
      <c r="E17">
        <v>0</v>
      </c>
      <c r="F17">
        <v>0</v>
      </c>
    </row>
    <row r="18" spans="1:6" x14ac:dyDescent="0.3">
      <c r="A18" t="s">
        <v>6</v>
      </c>
      <c r="B18" t="str">
        <f>"4011017"</f>
        <v>4011017</v>
      </c>
      <c r="C18" t="s">
        <v>1681</v>
      </c>
      <c r="D18">
        <v>0</v>
      </c>
      <c r="E18">
        <v>0</v>
      </c>
      <c r="F18">
        <v>0</v>
      </c>
    </row>
    <row r="19" spans="1:6" x14ac:dyDescent="0.3">
      <c r="A19" t="s">
        <v>6</v>
      </c>
      <c r="B19" t="str">
        <f>"4011018"</f>
        <v>4011018</v>
      </c>
      <c r="C19" t="s">
        <v>102</v>
      </c>
      <c r="D19">
        <v>0</v>
      </c>
      <c r="E19">
        <v>0</v>
      </c>
      <c r="F19">
        <v>0</v>
      </c>
    </row>
    <row r="20" spans="1:6" x14ac:dyDescent="0.3">
      <c r="A20" t="s">
        <v>6</v>
      </c>
      <c r="B20" t="str">
        <f>"4011019"</f>
        <v>4011019</v>
      </c>
      <c r="C20" t="s">
        <v>1682</v>
      </c>
      <c r="D20">
        <v>0</v>
      </c>
      <c r="E20">
        <v>0</v>
      </c>
      <c r="F20">
        <v>0</v>
      </c>
    </row>
    <row r="21" spans="1:6" x14ac:dyDescent="0.3">
      <c r="A21" t="s">
        <v>6</v>
      </c>
      <c r="B21" t="str">
        <f>"4011020"</f>
        <v>4011020</v>
      </c>
      <c r="C21" t="s">
        <v>1683</v>
      </c>
      <c r="D21">
        <v>0</v>
      </c>
      <c r="E21">
        <v>0</v>
      </c>
      <c r="F21">
        <v>0</v>
      </c>
    </row>
    <row r="22" spans="1:6" x14ac:dyDescent="0.3">
      <c r="A22" t="s">
        <v>6</v>
      </c>
      <c r="B22" t="str">
        <f>"4011021"</f>
        <v>4011021</v>
      </c>
      <c r="C22" t="s">
        <v>1684</v>
      </c>
      <c r="D22">
        <v>0</v>
      </c>
      <c r="E22">
        <v>0</v>
      </c>
      <c r="F22">
        <v>0</v>
      </c>
    </row>
    <row r="23" spans="1:6" x14ac:dyDescent="0.3">
      <c r="A23" t="s">
        <v>6</v>
      </c>
      <c r="B23" t="str">
        <f>"40110217"</f>
        <v>40110217</v>
      </c>
      <c r="C23" t="s">
        <v>1685</v>
      </c>
      <c r="D23">
        <v>0</v>
      </c>
      <c r="E23">
        <v>0</v>
      </c>
      <c r="F23">
        <v>0</v>
      </c>
    </row>
    <row r="24" spans="1:6" x14ac:dyDescent="0.3">
      <c r="A24" t="s">
        <v>6</v>
      </c>
      <c r="B24" t="str">
        <f>"4011022"</f>
        <v>4011022</v>
      </c>
      <c r="C24" t="s">
        <v>1686</v>
      </c>
      <c r="D24">
        <v>0</v>
      </c>
      <c r="E24">
        <v>0</v>
      </c>
      <c r="F24">
        <v>0</v>
      </c>
    </row>
    <row r="25" spans="1:6" x14ac:dyDescent="0.3">
      <c r="A25" t="s">
        <v>6</v>
      </c>
      <c r="B25" t="str">
        <f>"4011023"</f>
        <v>4011023</v>
      </c>
      <c r="C25" t="s">
        <v>1687</v>
      </c>
      <c r="D25">
        <v>0</v>
      </c>
      <c r="E25">
        <v>0</v>
      </c>
      <c r="F25">
        <v>0</v>
      </c>
    </row>
    <row r="26" spans="1:6" x14ac:dyDescent="0.3">
      <c r="A26" t="s">
        <v>6</v>
      </c>
      <c r="B26" t="str">
        <f>"4011024"</f>
        <v>4011024</v>
      </c>
      <c r="C26" t="s">
        <v>1688</v>
      </c>
      <c r="D26">
        <v>0</v>
      </c>
      <c r="E26">
        <v>0</v>
      </c>
      <c r="F26">
        <v>0</v>
      </c>
    </row>
    <row r="27" spans="1:6" x14ac:dyDescent="0.3">
      <c r="A27" t="s">
        <v>6</v>
      </c>
      <c r="B27" t="str">
        <f>"4011025"</f>
        <v>4011025</v>
      </c>
      <c r="C27" t="s">
        <v>1689</v>
      </c>
      <c r="D27">
        <v>0</v>
      </c>
      <c r="E27">
        <v>0</v>
      </c>
      <c r="F27">
        <v>0</v>
      </c>
    </row>
    <row r="28" spans="1:6" x14ac:dyDescent="0.3">
      <c r="A28" t="s">
        <v>6</v>
      </c>
      <c r="B28" t="str">
        <f>"4011026"</f>
        <v>4011026</v>
      </c>
      <c r="C28" t="s">
        <v>1690</v>
      </c>
      <c r="D28">
        <v>0</v>
      </c>
      <c r="E28">
        <v>0</v>
      </c>
      <c r="F28">
        <v>0</v>
      </c>
    </row>
    <row r="29" spans="1:6" x14ac:dyDescent="0.3">
      <c r="A29" t="s">
        <v>6</v>
      </c>
      <c r="B29" t="str">
        <f>"4011027"</f>
        <v>4011027</v>
      </c>
      <c r="C29" t="s">
        <v>1691</v>
      </c>
      <c r="D29">
        <v>0</v>
      </c>
      <c r="E29">
        <v>0</v>
      </c>
      <c r="F29">
        <v>0</v>
      </c>
    </row>
    <row r="30" spans="1:6" x14ac:dyDescent="0.3">
      <c r="A30" t="s">
        <v>6</v>
      </c>
      <c r="B30" t="str">
        <f>"4011028"</f>
        <v>4011028</v>
      </c>
      <c r="C30" t="s">
        <v>1692</v>
      </c>
      <c r="D30">
        <v>0</v>
      </c>
      <c r="E30">
        <v>0</v>
      </c>
      <c r="F30">
        <v>0</v>
      </c>
    </row>
    <row r="31" spans="1:6" x14ac:dyDescent="0.3">
      <c r="A31" t="s">
        <v>6</v>
      </c>
      <c r="B31" t="str">
        <f>"4011029"</f>
        <v>4011029</v>
      </c>
      <c r="C31" t="s">
        <v>1693</v>
      </c>
      <c r="D31">
        <v>0</v>
      </c>
      <c r="E31">
        <v>0</v>
      </c>
      <c r="F31">
        <v>0</v>
      </c>
    </row>
    <row r="32" spans="1:6" x14ac:dyDescent="0.3">
      <c r="A32" t="s">
        <v>6</v>
      </c>
      <c r="B32" t="str">
        <f>"4011030"</f>
        <v>4011030</v>
      </c>
      <c r="C32" t="s">
        <v>1694</v>
      </c>
      <c r="D32">
        <v>0</v>
      </c>
      <c r="E32">
        <v>0</v>
      </c>
      <c r="F32">
        <v>0</v>
      </c>
    </row>
    <row r="33" spans="1:6" x14ac:dyDescent="0.3">
      <c r="A33" t="s">
        <v>6</v>
      </c>
      <c r="B33" t="str">
        <f>"4011031"</f>
        <v>4011031</v>
      </c>
      <c r="C33" t="s">
        <v>1695</v>
      </c>
      <c r="D33">
        <v>0</v>
      </c>
      <c r="E33">
        <v>0</v>
      </c>
      <c r="F33">
        <v>0</v>
      </c>
    </row>
    <row r="34" spans="1:6" x14ac:dyDescent="0.3">
      <c r="A34" t="s">
        <v>6</v>
      </c>
      <c r="B34" t="str">
        <f>"4011032"</f>
        <v>4011032</v>
      </c>
      <c r="C34" t="s">
        <v>1696</v>
      </c>
      <c r="D34">
        <v>0</v>
      </c>
      <c r="E34">
        <v>0</v>
      </c>
      <c r="F34">
        <v>0</v>
      </c>
    </row>
    <row r="35" spans="1:6" x14ac:dyDescent="0.3">
      <c r="A35" t="s">
        <v>6</v>
      </c>
      <c r="B35" t="str">
        <f>"4011033"</f>
        <v>4011033</v>
      </c>
      <c r="C35" t="s">
        <v>1697</v>
      </c>
      <c r="D35">
        <v>0</v>
      </c>
      <c r="E35">
        <v>0</v>
      </c>
      <c r="F35">
        <v>0</v>
      </c>
    </row>
    <row r="36" spans="1:6" x14ac:dyDescent="0.3">
      <c r="A36" t="s">
        <v>6</v>
      </c>
      <c r="B36" t="str">
        <f>"4011034"</f>
        <v>4011034</v>
      </c>
      <c r="C36" t="s">
        <v>1698</v>
      </c>
      <c r="D36">
        <v>0</v>
      </c>
      <c r="E36">
        <v>0</v>
      </c>
      <c r="F36">
        <v>0</v>
      </c>
    </row>
    <row r="37" spans="1:6" x14ac:dyDescent="0.3">
      <c r="A37" t="s">
        <v>6</v>
      </c>
      <c r="B37" t="str">
        <f>"4011035"</f>
        <v>4011035</v>
      </c>
      <c r="C37" t="s">
        <v>1699</v>
      </c>
      <c r="D37">
        <v>0</v>
      </c>
      <c r="E37">
        <v>0</v>
      </c>
      <c r="F37">
        <v>0</v>
      </c>
    </row>
    <row r="38" spans="1:6" x14ac:dyDescent="0.3">
      <c r="A38" t="s">
        <v>6</v>
      </c>
      <c r="B38" t="str">
        <f>"4011036"</f>
        <v>4011036</v>
      </c>
      <c r="C38" t="s">
        <v>1700</v>
      </c>
      <c r="D38">
        <v>0</v>
      </c>
      <c r="E38">
        <v>0</v>
      </c>
      <c r="F38">
        <v>0</v>
      </c>
    </row>
    <row r="39" spans="1:6" x14ac:dyDescent="0.3">
      <c r="A39" t="s">
        <v>6</v>
      </c>
      <c r="B39" t="str">
        <f>"4011037"</f>
        <v>4011037</v>
      </c>
      <c r="C39" t="s">
        <v>1701</v>
      </c>
      <c r="D39">
        <v>0</v>
      </c>
      <c r="E39">
        <v>0</v>
      </c>
      <c r="F39">
        <v>0</v>
      </c>
    </row>
    <row r="40" spans="1:6" x14ac:dyDescent="0.3">
      <c r="A40" t="s">
        <v>6</v>
      </c>
      <c r="B40" t="str">
        <f>"4011038"</f>
        <v>4011038</v>
      </c>
      <c r="C40" t="s">
        <v>1702</v>
      </c>
      <c r="D40">
        <v>0</v>
      </c>
      <c r="E40">
        <v>0</v>
      </c>
      <c r="F40">
        <v>0</v>
      </c>
    </row>
    <row r="41" spans="1:6" x14ac:dyDescent="0.3">
      <c r="A41" t="s">
        <v>6</v>
      </c>
      <c r="B41" t="str">
        <f>"4011039"</f>
        <v>4011039</v>
      </c>
      <c r="C41" t="s">
        <v>1703</v>
      </c>
      <c r="D41">
        <v>0</v>
      </c>
      <c r="E41">
        <v>0</v>
      </c>
      <c r="F41">
        <v>0</v>
      </c>
    </row>
    <row r="42" spans="1:6" x14ac:dyDescent="0.3">
      <c r="A42" t="s">
        <v>6</v>
      </c>
      <c r="B42" t="str">
        <f>"4011040"</f>
        <v>4011040</v>
      </c>
      <c r="C42" t="s">
        <v>1704</v>
      </c>
      <c r="D42">
        <v>0</v>
      </c>
      <c r="E42">
        <v>0</v>
      </c>
      <c r="F42">
        <v>0</v>
      </c>
    </row>
    <row r="43" spans="1:6" x14ac:dyDescent="0.3">
      <c r="A43" t="s">
        <v>6</v>
      </c>
      <c r="B43" t="str">
        <f>"4011041"</f>
        <v>4011041</v>
      </c>
      <c r="C43" t="s">
        <v>1705</v>
      </c>
      <c r="D43">
        <v>0</v>
      </c>
      <c r="E43">
        <v>0</v>
      </c>
      <c r="F43">
        <v>0</v>
      </c>
    </row>
    <row r="44" spans="1:6" x14ac:dyDescent="0.3">
      <c r="A44" t="s">
        <v>6</v>
      </c>
      <c r="B44" t="str">
        <f>"4011042"</f>
        <v>4011042</v>
      </c>
      <c r="C44" t="s">
        <v>1706</v>
      </c>
      <c r="D44">
        <v>0</v>
      </c>
      <c r="E44">
        <v>0</v>
      </c>
      <c r="F44">
        <v>0</v>
      </c>
    </row>
    <row r="45" spans="1:6" x14ac:dyDescent="0.3">
      <c r="A45" t="s">
        <v>6</v>
      </c>
      <c r="B45" t="str">
        <f>"4011043"</f>
        <v>4011043</v>
      </c>
      <c r="C45" t="s">
        <v>571</v>
      </c>
      <c r="D45">
        <v>0</v>
      </c>
      <c r="E45">
        <v>0</v>
      </c>
      <c r="F45">
        <v>0</v>
      </c>
    </row>
    <row r="46" spans="1:6" x14ac:dyDescent="0.3">
      <c r="A46" t="s">
        <v>6</v>
      </c>
      <c r="B46" t="str">
        <f>"4011044"</f>
        <v>4011044</v>
      </c>
      <c r="C46" t="s">
        <v>1707</v>
      </c>
      <c r="D46">
        <v>0</v>
      </c>
      <c r="E46">
        <v>0</v>
      </c>
      <c r="F46">
        <v>0</v>
      </c>
    </row>
    <row r="47" spans="1:6" x14ac:dyDescent="0.3">
      <c r="A47" t="s">
        <v>6</v>
      </c>
      <c r="B47" t="str">
        <f>"4011045"</f>
        <v>4011045</v>
      </c>
      <c r="C47" t="s">
        <v>1708</v>
      </c>
      <c r="D47">
        <v>0</v>
      </c>
      <c r="E47">
        <v>0</v>
      </c>
      <c r="F47">
        <v>0</v>
      </c>
    </row>
    <row r="48" spans="1:6" x14ac:dyDescent="0.3">
      <c r="A48" t="s">
        <v>6</v>
      </c>
      <c r="B48" t="str">
        <f>"4011046"</f>
        <v>4011046</v>
      </c>
      <c r="C48" t="s">
        <v>1709</v>
      </c>
      <c r="D48">
        <v>0</v>
      </c>
      <c r="E48">
        <v>0</v>
      </c>
      <c r="F48">
        <v>0</v>
      </c>
    </row>
    <row r="49" spans="1:6" x14ac:dyDescent="0.3">
      <c r="A49" t="s">
        <v>6</v>
      </c>
      <c r="B49" t="str">
        <f>"4011047"</f>
        <v>4011047</v>
      </c>
      <c r="C49" t="s">
        <v>1710</v>
      </c>
      <c r="D49">
        <v>0</v>
      </c>
      <c r="E49">
        <v>0</v>
      </c>
      <c r="F49">
        <v>0</v>
      </c>
    </row>
    <row r="50" spans="1:6" x14ac:dyDescent="0.3">
      <c r="A50" t="s">
        <v>6</v>
      </c>
      <c r="B50" t="str">
        <f>"4011048"</f>
        <v>4011048</v>
      </c>
      <c r="C50" t="s">
        <v>1711</v>
      </c>
      <c r="D50">
        <v>0</v>
      </c>
      <c r="E50">
        <v>0</v>
      </c>
      <c r="F50">
        <v>0</v>
      </c>
    </row>
    <row r="51" spans="1:6" x14ac:dyDescent="0.3">
      <c r="A51" t="s">
        <v>6</v>
      </c>
      <c r="B51" t="str">
        <f>"4011049"</f>
        <v>4011049</v>
      </c>
      <c r="C51" t="s">
        <v>1712</v>
      </c>
      <c r="D51">
        <v>0</v>
      </c>
      <c r="E51">
        <v>0</v>
      </c>
      <c r="F51">
        <v>0</v>
      </c>
    </row>
    <row r="52" spans="1:6" x14ac:dyDescent="0.3">
      <c r="A52" t="s">
        <v>6</v>
      </c>
      <c r="B52" t="str">
        <f>"4011050"</f>
        <v>4011050</v>
      </c>
      <c r="C52" t="s">
        <v>1713</v>
      </c>
      <c r="D52">
        <v>0</v>
      </c>
      <c r="E52">
        <v>0</v>
      </c>
      <c r="F52">
        <v>0</v>
      </c>
    </row>
    <row r="53" spans="1:6" x14ac:dyDescent="0.3">
      <c r="A53" t="s">
        <v>6</v>
      </c>
      <c r="B53" t="str">
        <f>"4011051"</f>
        <v>4011051</v>
      </c>
      <c r="C53" t="s">
        <v>1714</v>
      </c>
      <c r="D53">
        <v>0</v>
      </c>
      <c r="E53">
        <v>0</v>
      </c>
      <c r="F53">
        <v>0</v>
      </c>
    </row>
    <row r="54" spans="1:6" x14ac:dyDescent="0.3">
      <c r="A54" t="s">
        <v>6</v>
      </c>
      <c r="B54" t="str">
        <f>"4011052"</f>
        <v>4011052</v>
      </c>
      <c r="C54" t="s">
        <v>1715</v>
      </c>
      <c r="D54">
        <v>0</v>
      </c>
      <c r="E54">
        <v>0</v>
      </c>
      <c r="F54">
        <v>0</v>
      </c>
    </row>
    <row r="55" spans="1:6" x14ac:dyDescent="0.3">
      <c r="A55" t="s">
        <v>6</v>
      </c>
      <c r="B55" t="str">
        <f>"4011081"</f>
        <v>4011081</v>
      </c>
      <c r="C55" t="s">
        <v>1716</v>
      </c>
      <c r="D55">
        <v>0</v>
      </c>
      <c r="E55">
        <v>0</v>
      </c>
      <c r="F55">
        <v>0</v>
      </c>
    </row>
    <row r="56" spans="1:6" x14ac:dyDescent="0.3">
      <c r="A56" t="s">
        <v>6</v>
      </c>
      <c r="B56" t="str">
        <f>"4011082"</f>
        <v>4011082</v>
      </c>
      <c r="C56" t="s">
        <v>1717</v>
      </c>
      <c r="D56">
        <v>0</v>
      </c>
      <c r="E56">
        <v>0</v>
      </c>
      <c r="F56">
        <v>0</v>
      </c>
    </row>
    <row r="57" spans="1:6" x14ac:dyDescent="0.3">
      <c r="A57" t="s">
        <v>6</v>
      </c>
      <c r="B57" t="str">
        <f>"4011083"</f>
        <v>4011083</v>
      </c>
      <c r="C57" t="s">
        <v>1718</v>
      </c>
      <c r="D57">
        <v>0</v>
      </c>
      <c r="E57">
        <v>0</v>
      </c>
      <c r="F57">
        <v>0</v>
      </c>
    </row>
    <row r="58" spans="1:6" x14ac:dyDescent="0.3">
      <c r="A58" t="s">
        <v>6</v>
      </c>
      <c r="B58" t="str">
        <f>"4011084"</f>
        <v>4011084</v>
      </c>
      <c r="C58" t="s">
        <v>1719</v>
      </c>
      <c r="D58">
        <v>0</v>
      </c>
      <c r="E58">
        <v>0</v>
      </c>
      <c r="F58">
        <v>0</v>
      </c>
    </row>
    <row r="59" spans="1:6" x14ac:dyDescent="0.3">
      <c r="A59" t="s">
        <v>6</v>
      </c>
      <c r="B59" t="str">
        <f>"4011085"</f>
        <v>4011085</v>
      </c>
      <c r="C59" t="s">
        <v>1720</v>
      </c>
      <c r="D59">
        <v>0</v>
      </c>
      <c r="E59">
        <v>0</v>
      </c>
      <c r="F59">
        <v>0</v>
      </c>
    </row>
    <row r="60" spans="1:6" x14ac:dyDescent="0.3">
      <c r="A60" t="s">
        <v>6</v>
      </c>
      <c r="B60" t="str">
        <f>"4011086"</f>
        <v>4011086</v>
      </c>
      <c r="C60" t="s">
        <v>1721</v>
      </c>
      <c r="D60">
        <v>0</v>
      </c>
      <c r="E60">
        <v>0</v>
      </c>
      <c r="F60">
        <v>0</v>
      </c>
    </row>
    <row r="61" spans="1:6" x14ac:dyDescent="0.3">
      <c r="A61" t="s">
        <v>6</v>
      </c>
      <c r="B61" t="str">
        <f>"4011087"</f>
        <v>4011087</v>
      </c>
      <c r="C61" t="s">
        <v>1722</v>
      </c>
      <c r="D61">
        <v>0</v>
      </c>
      <c r="E61">
        <v>0</v>
      </c>
      <c r="F61">
        <v>0</v>
      </c>
    </row>
    <row r="62" spans="1:6" x14ac:dyDescent="0.3">
      <c r="A62" t="s">
        <v>6</v>
      </c>
      <c r="B62" t="str">
        <f>"4011088"</f>
        <v>4011088</v>
      </c>
      <c r="C62" t="s">
        <v>1723</v>
      </c>
      <c r="D62">
        <v>0</v>
      </c>
      <c r="E62">
        <v>0</v>
      </c>
      <c r="F62">
        <v>0</v>
      </c>
    </row>
    <row r="63" spans="1:6" x14ac:dyDescent="0.3">
      <c r="A63" t="s">
        <v>6</v>
      </c>
      <c r="B63" t="str">
        <f>"4011089"</f>
        <v>4011089</v>
      </c>
      <c r="C63" t="s">
        <v>1724</v>
      </c>
      <c r="D63">
        <v>0</v>
      </c>
      <c r="E63">
        <v>0</v>
      </c>
      <c r="F63">
        <v>0</v>
      </c>
    </row>
    <row r="64" spans="1:6" x14ac:dyDescent="0.3">
      <c r="A64" t="s">
        <v>6</v>
      </c>
      <c r="B64" t="str">
        <f>"4011090"</f>
        <v>4011090</v>
      </c>
      <c r="C64" t="s">
        <v>1725</v>
      </c>
      <c r="D64">
        <v>0</v>
      </c>
      <c r="E64">
        <v>0</v>
      </c>
      <c r="F64">
        <v>0</v>
      </c>
    </row>
    <row r="65" spans="1:6" x14ac:dyDescent="0.3">
      <c r="A65" t="s">
        <v>6</v>
      </c>
      <c r="B65" t="str">
        <f>"4011091"</f>
        <v>4011091</v>
      </c>
      <c r="C65" t="s">
        <v>1726</v>
      </c>
      <c r="D65">
        <v>0</v>
      </c>
      <c r="E65">
        <v>0</v>
      </c>
      <c r="F65">
        <v>0</v>
      </c>
    </row>
    <row r="66" spans="1:6" x14ac:dyDescent="0.3">
      <c r="A66" t="s">
        <v>6</v>
      </c>
      <c r="B66" t="str">
        <f>"4011092"</f>
        <v>4011092</v>
      </c>
      <c r="C66" t="s">
        <v>1727</v>
      </c>
      <c r="D66">
        <v>0</v>
      </c>
      <c r="E66">
        <v>0</v>
      </c>
      <c r="F66">
        <v>0</v>
      </c>
    </row>
    <row r="67" spans="1:6" x14ac:dyDescent="0.3">
      <c r="A67" t="s">
        <v>6</v>
      </c>
      <c r="B67" t="str">
        <f>"4011093"</f>
        <v>4011093</v>
      </c>
      <c r="C67" t="s">
        <v>1728</v>
      </c>
      <c r="D67">
        <v>0</v>
      </c>
      <c r="E67">
        <v>0</v>
      </c>
      <c r="F67">
        <v>0</v>
      </c>
    </row>
    <row r="68" spans="1:6" x14ac:dyDescent="0.3">
      <c r="A68" t="s">
        <v>6</v>
      </c>
      <c r="B68" t="str">
        <f>"4011094"</f>
        <v>4011094</v>
      </c>
      <c r="C68" t="s">
        <v>1729</v>
      </c>
      <c r="D68">
        <v>0</v>
      </c>
      <c r="E68">
        <v>0</v>
      </c>
      <c r="F68">
        <v>0</v>
      </c>
    </row>
    <row r="69" spans="1:6" x14ac:dyDescent="0.3">
      <c r="A69" t="s">
        <v>6</v>
      </c>
      <c r="B69" t="str">
        <f>"4011095"</f>
        <v>4011095</v>
      </c>
      <c r="C69" t="s">
        <v>1730</v>
      </c>
      <c r="D69">
        <v>0</v>
      </c>
      <c r="E69">
        <v>0</v>
      </c>
      <c r="F69">
        <v>0</v>
      </c>
    </row>
    <row r="70" spans="1:6" x14ac:dyDescent="0.3">
      <c r="A70" t="s">
        <v>6</v>
      </c>
      <c r="B70" t="str">
        <f>"4011096"</f>
        <v>4011096</v>
      </c>
      <c r="C70" t="s">
        <v>1731</v>
      </c>
      <c r="D70">
        <v>0</v>
      </c>
      <c r="E70">
        <v>0</v>
      </c>
      <c r="F70">
        <v>0</v>
      </c>
    </row>
    <row r="71" spans="1:6" x14ac:dyDescent="0.3">
      <c r="A71" t="s">
        <v>6</v>
      </c>
      <c r="B71" t="str">
        <f>"4011097"</f>
        <v>4011097</v>
      </c>
      <c r="C71" t="s">
        <v>1732</v>
      </c>
      <c r="D71">
        <v>0</v>
      </c>
      <c r="E71">
        <v>0</v>
      </c>
      <c r="F71">
        <v>0</v>
      </c>
    </row>
    <row r="72" spans="1:6" x14ac:dyDescent="0.3">
      <c r="A72" t="s">
        <v>6</v>
      </c>
      <c r="B72" t="str">
        <f>"4011098"</f>
        <v>4011098</v>
      </c>
      <c r="C72" t="s">
        <v>1733</v>
      </c>
      <c r="D72">
        <v>0</v>
      </c>
      <c r="E72">
        <v>0</v>
      </c>
      <c r="F72">
        <v>0</v>
      </c>
    </row>
    <row r="73" spans="1:6" x14ac:dyDescent="0.3">
      <c r="A73" t="s">
        <v>6</v>
      </c>
      <c r="B73" t="str">
        <f>"4011099"</f>
        <v>4011099</v>
      </c>
      <c r="C73" t="s">
        <v>1734</v>
      </c>
      <c r="D73">
        <v>0</v>
      </c>
      <c r="E73">
        <v>0</v>
      </c>
      <c r="F73">
        <v>0</v>
      </c>
    </row>
    <row r="74" spans="1:6" x14ac:dyDescent="0.3">
      <c r="A74" t="s">
        <v>6</v>
      </c>
      <c r="B74" t="str">
        <f>"4011100"</f>
        <v>4011100</v>
      </c>
      <c r="C74" t="s">
        <v>1735</v>
      </c>
      <c r="D74">
        <v>0</v>
      </c>
      <c r="E74">
        <v>0</v>
      </c>
      <c r="F74">
        <v>0</v>
      </c>
    </row>
    <row r="75" spans="1:6" x14ac:dyDescent="0.3">
      <c r="A75" t="s">
        <v>6</v>
      </c>
      <c r="B75" t="str">
        <f>"4011101"</f>
        <v>4011101</v>
      </c>
      <c r="C75" t="s">
        <v>1736</v>
      </c>
      <c r="D75">
        <v>0</v>
      </c>
      <c r="E75">
        <v>0</v>
      </c>
      <c r="F75">
        <v>0</v>
      </c>
    </row>
    <row r="76" spans="1:6" x14ac:dyDescent="0.3">
      <c r="A76" t="s">
        <v>6</v>
      </c>
      <c r="B76" t="str">
        <f>"4011102"</f>
        <v>4011102</v>
      </c>
      <c r="C76" t="s">
        <v>1737</v>
      </c>
      <c r="D76">
        <v>0</v>
      </c>
      <c r="E76">
        <v>0</v>
      </c>
      <c r="F76">
        <v>0</v>
      </c>
    </row>
    <row r="77" spans="1:6" x14ac:dyDescent="0.3">
      <c r="A77" t="s">
        <v>6</v>
      </c>
      <c r="B77" t="str">
        <f>"4011103"</f>
        <v>4011103</v>
      </c>
      <c r="C77" t="s">
        <v>1738</v>
      </c>
      <c r="D77">
        <v>0</v>
      </c>
      <c r="E77">
        <v>0</v>
      </c>
      <c r="F77">
        <v>0</v>
      </c>
    </row>
    <row r="78" spans="1:6" x14ac:dyDescent="0.3">
      <c r="A78" t="s">
        <v>6</v>
      </c>
      <c r="B78" t="str">
        <f>"4011104"</f>
        <v>4011104</v>
      </c>
      <c r="C78" t="s">
        <v>1739</v>
      </c>
      <c r="D78">
        <v>0</v>
      </c>
      <c r="E78">
        <v>0</v>
      </c>
      <c r="F78">
        <v>0</v>
      </c>
    </row>
    <row r="79" spans="1:6" x14ac:dyDescent="0.3">
      <c r="A79" t="s">
        <v>6</v>
      </c>
      <c r="B79" t="str">
        <f>"4011105"</f>
        <v>4011105</v>
      </c>
      <c r="C79" t="s">
        <v>1740</v>
      </c>
      <c r="D79">
        <v>0</v>
      </c>
      <c r="E79">
        <v>0</v>
      </c>
      <c r="F79">
        <v>0</v>
      </c>
    </row>
    <row r="80" spans="1:6" x14ac:dyDescent="0.3">
      <c r="A80" t="s">
        <v>6</v>
      </c>
      <c r="B80" t="str">
        <f>"4011106"</f>
        <v>4011106</v>
      </c>
      <c r="C80" t="s">
        <v>1741</v>
      </c>
      <c r="D80">
        <v>0</v>
      </c>
      <c r="E80">
        <v>0</v>
      </c>
      <c r="F80">
        <v>0</v>
      </c>
    </row>
    <row r="81" spans="1:6" x14ac:dyDescent="0.3">
      <c r="A81" t="s">
        <v>6</v>
      </c>
      <c r="B81" t="str">
        <f>"4011107"</f>
        <v>4011107</v>
      </c>
      <c r="C81" t="s">
        <v>1742</v>
      </c>
      <c r="D81">
        <v>0</v>
      </c>
      <c r="E81">
        <v>0</v>
      </c>
      <c r="F81">
        <v>0</v>
      </c>
    </row>
    <row r="82" spans="1:6" x14ac:dyDescent="0.3">
      <c r="A82" t="s">
        <v>6</v>
      </c>
      <c r="B82" t="str">
        <f>"4011108"</f>
        <v>4011108</v>
      </c>
      <c r="C82" t="s">
        <v>1743</v>
      </c>
      <c r="D82">
        <v>0</v>
      </c>
      <c r="E82">
        <v>0</v>
      </c>
      <c r="F82">
        <v>0</v>
      </c>
    </row>
    <row r="83" spans="1:6" x14ac:dyDescent="0.3">
      <c r="A83" t="s">
        <v>6</v>
      </c>
      <c r="B83" t="str">
        <f>"4011109"</f>
        <v>4011109</v>
      </c>
      <c r="C83" t="s">
        <v>66</v>
      </c>
      <c r="D83">
        <v>0</v>
      </c>
      <c r="E83">
        <v>0</v>
      </c>
      <c r="F83">
        <v>0</v>
      </c>
    </row>
    <row r="84" spans="1:6" x14ac:dyDescent="0.3">
      <c r="A84" t="s">
        <v>6</v>
      </c>
      <c r="B84" t="str">
        <f>"4011110"</f>
        <v>4011110</v>
      </c>
      <c r="C84" t="s">
        <v>1744</v>
      </c>
      <c r="D84">
        <v>0</v>
      </c>
      <c r="E84">
        <v>0</v>
      </c>
      <c r="F84">
        <v>0</v>
      </c>
    </row>
    <row r="85" spans="1:6" x14ac:dyDescent="0.3">
      <c r="A85" t="s">
        <v>6</v>
      </c>
      <c r="B85" t="str">
        <f>"4011120"</f>
        <v>4011120</v>
      </c>
      <c r="C85" t="s">
        <v>1745</v>
      </c>
      <c r="D85">
        <v>0</v>
      </c>
      <c r="E85">
        <v>0</v>
      </c>
      <c r="F85">
        <v>0</v>
      </c>
    </row>
    <row r="86" spans="1:6" x14ac:dyDescent="0.3">
      <c r="A86" t="s">
        <v>6</v>
      </c>
      <c r="B86" t="str">
        <f>"4011200"</f>
        <v>4011200</v>
      </c>
      <c r="C86" t="s">
        <v>1746</v>
      </c>
      <c r="D86">
        <v>0</v>
      </c>
      <c r="E86">
        <v>0</v>
      </c>
      <c r="F86">
        <v>0</v>
      </c>
    </row>
    <row r="87" spans="1:6" x14ac:dyDescent="0.3">
      <c r="A87" t="s">
        <v>6</v>
      </c>
      <c r="B87" t="str">
        <f>"4011201"</f>
        <v>4011201</v>
      </c>
      <c r="C87" t="s">
        <v>1747</v>
      </c>
      <c r="D87">
        <v>0</v>
      </c>
      <c r="E87">
        <v>0</v>
      </c>
      <c r="F87">
        <v>0</v>
      </c>
    </row>
    <row r="88" spans="1:6" x14ac:dyDescent="0.3">
      <c r="A88" t="s">
        <v>6</v>
      </c>
      <c r="B88" t="str">
        <f>"4011202"</f>
        <v>4011202</v>
      </c>
      <c r="C88" t="s">
        <v>1748</v>
      </c>
      <c r="D88">
        <v>0</v>
      </c>
      <c r="E88">
        <v>0</v>
      </c>
      <c r="F88">
        <v>0</v>
      </c>
    </row>
    <row r="89" spans="1:6" x14ac:dyDescent="0.3">
      <c r="A89" t="s">
        <v>6</v>
      </c>
      <c r="B89" t="str">
        <f>"4011203"</f>
        <v>4011203</v>
      </c>
      <c r="C89" t="s">
        <v>1749</v>
      </c>
      <c r="D89">
        <v>0</v>
      </c>
      <c r="E89">
        <v>0</v>
      </c>
      <c r="F89">
        <v>0</v>
      </c>
    </row>
    <row r="90" spans="1:6" x14ac:dyDescent="0.3">
      <c r="A90" t="s">
        <v>6</v>
      </c>
      <c r="B90" t="str">
        <f>"4011204"</f>
        <v>4011204</v>
      </c>
      <c r="C90" t="s">
        <v>1750</v>
      </c>
      <c r="D90">
        <v>0</v>
      </c>
      <c r="E90">
        <v>0</v>
      </c>
      <c r="F90">
        <v>0</v>
      </c>
    </row>
    <row r="91" spans="1:6" x14ac:dyDescent="0.3">
      <c r="A91" t="s">
        <v>6</v>
      </c>
      <c r="B91" t="str">
        <f>"4011205"</f>
        <v>4011205</v>
      </c>
      <c r="C91" t="s">
        <v>1751</v>
      </c>
      <c r="D91">
        <v>0</v>
      </c>
      <c r="E91">
        <v>0</v>
      </c>
      <c r="F91">
        <v>0</v>
      </c>
    </row>
    <row r="92" spans="1:6" x14ac:dyDescent="0.3">
      <c r="A92" t="s">
        <v>6</v>
      </c>
      <c r="B92" t="str">
        <f>"4011206"</f>
        <v>4011206</v>
      </c>
      <c r="C92" t="s">
        <v>1752</v>
      </c>
      <c r="D92">
        <v>0</v>
      </c>
      <c r="E92">
        <v>0</v>
      </c>
      <c r="F92">
        <v>0</v>
      </c>
    </row>
    <row r="93" spans="1:6" x14ac:dyDescent="0.3">
      <c r="A93" t="s">
        <v>6</v>
      </c>
      <c r="B93" t="str">
        <f>"4011207"</f>
        <v>4011207</v>
      </c>
      <c r="C93" t="s">
        <v>1753</v>
      </c>
      <c r="D93">
        <v>0</v>
      </c>
      <c r="E93">
        <v>0</v>
      </c>
      <c r="F93">
        <v>0</v>
      </c>
    </row>
    <row r="94" spans="1:6" x14ac:dyDescent="0.3">
      <c r="A94" t="s">
        <v>6</v>
      </c>
      <c r="B94" t="str">
        <f>"4011208"</f>
        <v>4011208</v>
      </c>
      <c r="C94" t="s">
        <v>1754</v>
      </c>
      <c r="D94">
        <v>0</v>
      </c>
      <c r="E94">
        <v>0</v>
      </c>
      <c r="F94">
        <v>0</v>
      </c>
    </row>
    <row r="95" spans="1:6" x14ac:dyDescent="0.3">
      <c r="A95" t="s">
        <v>6</v>
      </c>
      <c r="B95" t="str">
        <f>"4011209"</f>
        <v>4011209</v>
      </c>
      <c r="C95" t="s">
        <v>1755</v>
      </c>
      <c r="D95">
        <v>0</v>
      </c>
      <c r="E95">
        <v>0</v>
      </c>
      <c r="F95">
        <v>0</v>
      </c>
    </row>
    <row r="96" spans="1:6" x14ac:dyDescent="0.3">
      <c r="A96" t="s">
        <v>6</v>
      </c>
      <c r="B96" t="str">
        <f>"4011210"</f>
        <v>4011210</v>
      </c>
      <c r="C96" t="s">
        <v>1756</v>
      </c>
      <c r="D96">
        <v>0</v>
      </c>
      <c r="E96">
        <v>0</v>
      </c>
      <c r="F96">
        <v>0</v>
      </c>
    </row>
    <row r="97" spans="1:6" x14ac:dyDescent="0.3">
      <c r="A97" t="s">
        <v>6</v>
      </c>
      <c r="B97" t="str">
        <f>"4011211"</f>
        <v>4011211</v>
      </c>
      <c r="C97" t="s">
        <v>1757</v>
      </c>
      <c r="D97">
        <v>0</v>
      </c>
      <c r="E97">
        <v>0</v>
      </c>
      <c r="F97">
        <v>0</v>
      </c>
    </row>
    <row r="98" spans="1:6" x14ac:dyDescent="0.3">
      <c r="A98" t="s">
        <v>6</v>
      </c>
      <c r="B98" t="str">
        <f>"4011212"</f>
        <v>4011212</v>
      </c>
      <c r="C98" t="s">
        <v>1758</v>
      </c>
      <c r="D98">
        <v>0</v>
      </c>
      <c r="E98">
        <v>0</v>
      </c>
      <c r="F98">
        <v>0</v>
      </c>
    </row>
    <row r="99" spans="1:6" x14ac:dyDescent="0.3">
      <c r="A99" t="s">
        <v>6</v>
      </c>
      <c r="B99" t="str">
        <f>"4011213"</f>
        <v>4011213</v>
      </c>
      <c r="C99" t="s">
        <v>1759</v>
      </c>
      <c r="D99">
        <v>0</v>
      </c>
      <c r="E99">
        <v>0</v>
      </c>
      <c r="F99">
        <v>0</v>
      </c>
    </row>
    <row r="100" spans="1:6" x14ac:dyDescent="0.3">
      <c r="A100" t="s">
        <v>6</v>
      </c>
      <c r="B100" t="str">
        <f>"4011214"</f>
        <v>4011214</v>
      </c>
      <c r="C100" t="s">
        <v>1760</v>
      </c>
      <c r="D100">
        <v>0</v>
      </c>
      <c r="E100">
        <v>0</v>
      </c>
      <c r="F100">
        <v>0</v>
      </c>
    </row>
    <row r="101" spans="1:6" x14ac:dyDescent="0.3">
      <c r="A101" t="s">
        <v>6</v>
      </c>
      <c r="B101" t="str">
        <f>"4011215"</f>
        <v>4011215</v>
      </c>
      <c r="C101" t="s">
        <v>1761</v>
      </c>
      <c r="D101">
        <v>0</v>
      </c>
      <c r="E101">
        <v>0</v>
      </c>
      <c r="F101">
        <v>0</v>
      </c>
    </row>
    <row r="102" spans="1:6" x14ac:dyDescent="0.3">
      <c r="A102" t="s">
        <v>6</v>
      </c>
      <c r="B102" t="str">
        <f>"4011216"</f>
        <v>4011216</v>
      </c>
      <c r="C102" t="s">
        <v>1762</v>
      </c>
      <c r="D102">
        <v>0</v>
      </c>
      <c r="E102">
        <v>0</v>
      </c>
      <c r="F102">
        <v>0</v>
      </c>
    </row>
    <row r="103" spans="1:6" x14ac:dyDescent="0.3">
      <c r="A103" t="s">
        <v>6</v>
      </c>
      <c r="B103" t="str">
        <f>"4011217"</f>
        <v>4011217</v>
      </c>
      <c r="C103" t="s">
        <v>1763</v>
      </c>
      <c r="D103">
        <v>0</v>
      </c>
      <c r="E103">
        <v>0</v>
      </c>
      <c r="F103">
        <v>0</v>
      </c>
    </row>
    <row r="104" spans="1:6" x14ac:dyDescent="0.3">
      <c r="A104" t="s">
        <v>6</v>
      </c>
      <c r="B104" t="str">
        <f>"4011218"</f>
        <v>4011218</v>
      </c>
      <c r="C104" t="s">
        <v>1685</v>
      </c>
      <c r="D104">
        <v>0</v>
      </c>
      <c r="E104">
        <v>0</v>
      </c>
      <c r="F104">
        <v>0</v>
      </c>
    </row>
    <row r="105" spans="1:6" x14ac:dyDescent="0.3">
      <c r="A105" t="s">
        <v>6</v>
      </c>
      <c r="B105" t="str">
        <f>"4011219"</f>
        <v>4011219</v>
      </c>
      <c r="C105" t="s">
        <v>1764</v>
      </c>
      <c r="D105">
        <v>0</v>
      </c>
      <c r="E105">
        <v>0</v>
      </c>
      <c r="F105">
        <v>0</v>
      </c>
    </row>
    <row r="106" spans="1:6" x14ac:dyDescent="0.3">
      <c r="A106" t="s">
        <v>6</v>
      </c>
      <c r="B106" t="str">
        <f>"4011220"</f>
        <v>4011220</v>
      </c>
      <c r="C106" t="s">
        <v>1765</v>
      </c>
      <c r="D106">
        <v>0</v>
      </c>
      <c r="E106">
        <v>0</v>
      </c>
      <c r="F106">
        <v>0</v>
      </c>
    </row>
    <row r="107" spans="1:6" x14ac:dyDescent="0.3">
      <c r="A107" t="s">
        <v>6</v>
      </c>
      <c r="B107" t="str">
        <f>"4011221"</f>
        <v>4011221</v>
      </c>
      <c r="C107" t="s">
        <v>1766</v>
      </c>
      <c r="D107">
        <v>0</v>
      </c>
      <c r="E107">
        <v>0</v>
      </c>
      <c r="F107">
        <v>0</v>
      </c>
    </row>
    <row r="108" spans="1:6" x14ac:dyDescent="0.3">
      <c r="A108" t="s">
        <v>6</v>
      </c>
      <c r="B108" t="str">
        <f>"4011222"</f>
        <v>4011222</v>
      </c>
      <c r="C108" t="s">
        <v>1767</v>
      </c>
      <c r="D108">
        <v>0</v>
      </c>
      <c r="E108">
        <v>0</v>
      </c>
      <c r="F108">
        <v>0</v>
      </c>
    </row>
    <row r="109" spans="1:6" x14ac:dyDescent="0.3">
      <c r="A109" t="s">
        <v>6</v>
      </c>
      <c r="B109" t="str">
        <f>"4011223"</f>
        <v>4011223</v>
      </c>
      <c r="C109" t="s">
        <v>1768</v>
      </c>
      <c r="D109">
        <v>0</v>
      </c>
      <c r="E109">
        <v>0</v>
      </c>
      <c r="F109">
        <v>0</v>
      </c>
    </row>
    <row r="110" spans="1:6" x14ac:dyDescent="0.3">
      <c r="A110" t="s">
        <v>6</v>
      </c>
      <c r="B110" t="str">
        <f>"4011224"</f>
        <v>4011224</v>
      </c>
      <c r="C110" t="s">
        <v>1769</v>
      </c>
      <c r="D110">
        <v>0</v>
      </c>
      <c r="E110">
        <v>0</v>
      </c>
      <c r="F110">
        <v>0</v>
      </c>
    </row>
    <row r="111" spans="1:6" x14ac:dyDescent="0.3">
      <c r="A111" t="s">
        <v>6</v>
      </c>
      <c r="B111" t="str">
        <f>"4011225"</f>
        <v>4011225</v>
      </c>
      <c r="C111" t="s">
        <v>1770</v>
      </c>
      <c r="D111">
        <v>0</v>
      </c>
      <c r="E111">
        <v>0</v>
      </c>
      <c r="F111">
        <v>0</v>
      </c>
    </row>
    <row r="112" spans="1:6" x14ac:dyDescent="0.3">
      <c r="A112" t="s">
        <v>6</v>
      </c>
      <c r="B112" t="str">
        <f>"4011226"</f>
        <v>4011226</v>
      </c>
      <c r="C112" t="s">
        <v>1771</v>
      </c>
      <c r="D112">
        <v>0</v>
      </c>
      <c r="E112">
        <v>0</v>
      </c>
      <c r="F112">
        <v>0</v>
      </c>
    </row>
    <row r="113" spans="1:6" x14ac:dyDescent="0.3">
      <c r="A113" t="s">
        <v>6</v>
      </c>
      <c r="B113" t="str">
        <f>"4011227"</f>
        <v>4011227</v>
      </c>
      <c r="C113" t="s">
        <v>1772</v>
      </c>
      <c r="D113">
        <v>0</v>
      </c>
      <c r="E113">
        <v>0</v>
      </c>
      <c r="F113">
        <v>0</v>
      </c>
    </row>
    <row r="114" spans="1:6" x14ac:dyDescent="0.3">
      <c r="A114" t="s">
        <v>6</v>
      </c>
      <c r="B114" t="str">
        <f>"4011240"</f>
        <v>4011240</v>
      </c>
      <c r="C114" t="s">
        <v>1349</v>
      </c>
      <c r="D114">
        <v>0</v>
      </c>
      <c r="E114">
        <v>0</v>
      </c>
      <c r="F114">
        <v>0</v>
      </c>
    </row>
    <row r="115" spans="1:6" x14ac:dyDescent="0.3">
      <c r="A115" t="s">
        <v>6</v>
      </c>
      <c r="B115" t="s">
        <v>85</v>
      </c>
      <c r="C115" t="s">
        <v>1773</v>
      </c>
      <c r="D115">
        <v>0</v>
      </c>
      <c r="E115">
        <v>0</v>
      </c>
      <c r="F115">
        <v>0</v>
      </c>
    </row>
    <row r="117" spans="1:6" x14ac:dyDescent="0.3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</row>
    <row r="118" spans="1:6" x14ac:dyDescent="0.3">
      <c r="A118" t="s">
        <v>318</v>
      </c>
      <c r="B118" t="s">
        <v>319</v>
      </c>
      <c r="C118" t="s">
        <v>320</v>
      </c>
      <c r="D118">
        <v>0</v>
      </c>
      <c r="E118">
        <v>0</v>
      </c>
      <c r="F118">
        <v>0</v>
      </c>
    </row>
    <row r="119" spans="1:6" x14ac:dyDescent="0.3">
      <c r="A119" t="s">
        <v>318</v>
      </c>
      <c r="B119" t="s">
        <v>321</v>
      </c>
      <c r="C119" t="s">
        <v>594</v>
      </c>
      <c r="D119">
        <v>0</v>
      </c>
      <c r="E119">
        <v>0</v>
      </c>
      <c r="F119">
        <v>0</v>
      </c>
    </row>
    <row r="120" spans="1:6" x14ac:dyDescent="0.3">
      <c r="A120" t="s">
        <v>318</v>
      </c>
      <c r="B120" t="s">
        <v>325</v>
      </c>
      <c r="C120" t="s">
        <v>328</v>
      </c>
      <c r="D120">
        <v>0</v>
      </c>
      <c r="E120">
        <v>0</v>
      </c>
      <c r="F120">
        <v>0</v>
      </c>
    </row>
    <row r="121" spans="1:6" x14ac:dyDescent="0.3">
      <c r="A121" t="s">
        <v>318</v>
      </c>
      <c r="B121" t="s">
        <v>327</v>
      </c>
      <c r="C121" t="s">
        <v>1774</v>
      </c>
      <c r="D121">
        <v>0</v>
      </c>
      <c r="E121">
        <v>0</v>
      </c>
      <c r="F121">
        <v>0</v>
      </c>
    </row>
    <row r="122" spans="1:6" x14ac:dyDescent="0.3">
      <c r="A122" t="s">
        <v>318</v>
      </c>
      <c r="B122" t="s">
        <v>329</v>
      </c>
      <c r="C122" t="s">
        <v>330</v>
      </c>
      <c r="D122">
        <v>0</v>
      </c>
      <c r="E122">
        <v>0</v>
      </c>
      <c r="F122">
        <v>0</v>
      </c>
    </row>
    <row r="123" spans="1:6" x14ac:dyDescent="0.3">
      <c r="A123" t="s">
        <v>318</v>
      </c>
      <c r="B123" t="s">
        <v>331</v>
      </c>
      <c r="C123" t="s">
        <v>332</v>
      </c>
      <c r="D123">
        <v>0</v>
      </c>
      <c r="E123">
        <v>0</v>
      </c>
      <c r="F123">
        <v>0</v>
      </c>
    </row>
    <row r="124" spans="1:6" x14ac:dyDescent="0.3">
      <c r="A124" t="s">
        <v>318</v>
      </c>
      <c r="B124" t="s">
        <v>333</v>
      </c>
      <c r="C124" t="s">
        <v>334</v>
      </c>
      <c r="D124">
        <v>0</v>
      </c>
      <c r="E124">
        <v>0</v>
      </c>
      <c r="F124">
        <v>0</v>
      </c>
    </row>
    <row r="125" spans="1:6" x14ac:dyDescent="0.3">
      <c r="A125" t="s">
        <v>318</v>
      </c>
      <c r="B125" t="s">
        <v>335</v>
      </c>
      <c r="C125" t="s">
        <v>1775</v>
      </c>
      <c r="D125">
        <v>0</v>
      </c>
      <c r="E125">
        <v>0</v>
      </c>
      <c r="F125">
        <v>0</v>
      </c>
    </row>
    <row r="126" spans="1:6" x14ac:dyDescent="0.3">
      <c r="A126" t="s">
        <v>318</v>
      </c>
      <c r="B126" t="s">
        <v>1776</v>
      </c>
      <c r="C126" t="s">
        <v>1777</v>
      </c>
      <c r="D126">
        <v>0</v>
      </c>
      <c r="E126">
        <v>0</v>
      </c>
      <c r="F126">
        <v>0</v>
      </c>
    </row>
    <row r="127" spans="1:6" x14ac:dyDescent="0.3">
      <c r="A127" t="s">
        <v>318</v>
      </c>
      <c r="B127" t="s">
        <v>1778</v>
      </c>
      <c r="C127" t="s">
        <v>336</v>
      </c>
      <c r="D127">
        <v>0</v>
      </c>
      <c r="E127">
        <v>0</v>
      </c>
      <c r="F12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42DB-8CD6-4BA5-8098-7FA80CAE660E}">
  <dimension ref="A1:C4"/>
  <sheetViews>
    <sheetView workbookViewId="0">
      <selection activeCell="C10" sqref="C10"/>
    </sheetView>
  </sheetViews>
  <sheetFormatPr defaultRowHeight="15.6" x14ac:dyDescent="0.3"/>
  <cols>
    <col min="3" max="3" width="16.54296875" customWidth="1"/>
  </cols>
  <sheetData>
    <row r="1" spans="1:3" x14ac:dyDescent="0.3">
      <c r="A1" t="s">
        <v>0</v>
      </c>
      <c r="B1" t="s">
        <v>337</v>
      </c>
      <c r="C1" t="s">
        <v>338</v>
      </c>
    </row>
    <row r="2" spans="1:3" x14ac:dyDescent="0.3">
      <c r="A2" t="s">
        <v>342</v>
      </c>
      <c r="B2" t="s">
        <v>359</v>
      </c>
      <c r="C2" t="s">
        <v>1047</v>
      </c>
    </row>
    <row r="3" spans="1:3" x14ac:dyDescent="0.3">
      <c r="A3" t="s">
        <v>339</v>
      </c>
      <c r="B3" t="s">
        <v>1779</v>
      </c>
      <c r="C3" t="s">
        <v>1780</v>
      </c>
    </row>
    <row r="4" spans="1:3" x14ac:dyDescent="0.3">
      <c r="A4" t="s">
        <v>345</v>
      </c>
      <c r="B4" t="s">
        <v>363</v>
      </c>
      <c r="C4" t="s">
        <v>364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F454-BDCD-4AE8-BB42-F03131D65531}">
  <dimension ref="M1:S177"/>
  <sheetViews>
    <sheetView topLeftCell="M1" workbookViewId="0">
      <selection activeCell="O5" sqref="O5"/>
    </sheetView>
  </sheetViews>
  <sheetFormatPr defaultRowHeight="15.6" x14ac:dyDescent="0.3"/>
  <sheetData>
    <row r="1" spans="13:19" x14ac:dyDescent="0.3">
      <c r="M1" t="s">
        <v>0</v>
      </c>
      <c r="N1" t="s">
        <v>1</v>
      </c>
      <c r="O1" t="s">
        <v>2</v>
      </c>
      <c r="P1" t="s">
        <v>365</v>
      </c>
      <c r="Q1" t="s">
        <v>366</v>
      </c>
      <c r="R1" t="s">
        <v>3</v>
      </c>
      <c r="S1" t="s">
        <v>4</v>
      </c>
    </row>
    <row r="2" spans="13:19" x14ac:dyDescent="0.3">
      <c r="M2" t="s">
        <v>367</v>
      </c>
      <c r="N2" t="str">
        <f>"101000"</f>
        <v>101000</v>
      </c>
      <c r="O2" t="s">
        <v>368</v>
      </c>
      <c r="P2">
        <v>0</v>
      </c>
      <c r="Q2">
        <v>0</v>
      </c>
      <c r="R2">
        <v>0</v>
      </c>
      <c r="S2">
        <v>0</v>
      </c>
    </row>
    <row r="3" spans="13:19" x14ac:dyDescent="0.3">
      <c r="M3" t="s">
        <v>367</v>
      </c>
      <c r="N3" t="str">
        <f>"101100"</f>
        <v>101100</v>
      </c>
      <c r="O3" t="s">
        <v>1781</v>
      </c>
      <c r="P3">
        <v>0</v>
      </c>
      <c r="Q3">
        <v>0</v>
      </c>
      <c r="R3">
        <v>0</v>
      </c>
      <c r="S3">
        <v>0</v>
      </c>
    </row>
    <row r="4" spans="13:19" x14ac:dyDescent="0.3">
      <c r="M4" t="s">
        <v>367</v>
      </c>
      <c r="N4" t="str">
        <f>"101200"</f>
        <v>101200</v>
      </c>
      <c r="O4" t="s">
        <v>1782</v>
      </c>
      <c r="P4">
        <v>0</v>
      </c>
      <c r="Q4">
        <v>0</v>
      </c>
      <c r="R4">
        <v>0</v>
      </c>
      <c r="S4">
        <v>0</v>
      </c>
    </row>
    <row r="5" spans="13:19" x14ac:dyDescent="0.3">
      <c r="M5" t="s">
        <v>367</v>
      </c>
      <c r="N5" t="str">
        <f>"101300"</f>
        <v>101300</v>
      </c>
      <c r="O5" t="s">
        <v>1783</v>
      </c>
      <c r="P5">
        <v>0</v>
      </c>
      <c r="Q5">
        <v>0</v>
      </c>
      <c r="R5">
        <v>0</v>
      </c>
      <c r="S5">
        <v>0</v>
      </c>
    </row>
    <row r="6" spans="13:19" x14ac:dyDescent="0.3">
      <c r="M6" t="s">
        <v>367</v>
      </c>
      <c r="N6" t="str">
        <f>"121000"</f>
        <v>121000</v>
      </c>
      <c r="O6" t="s">
        <v>1058</v>
      </c>
      <c r="P6">
        <v>0</v>
      </c>
      <c r="Q6">
        <v>0</v>
      </c>
      <c r="R6">
        <v>0</v>
      </c>
      <c r="S6">
        <v>0</v>
      </c>
    </row>
    <row r="7" spans="13:19" x14ac:dyDescent="0.3">
      <c r="M7" t="s">
        <v>367</v>
      </c>
      <c r="N7" t="str">
        <f>"129100"</f>
        <v>129100</v>
      </c>
      <c r="O7" t="s">
        <v>372</v>
      </c>
      <c r="P7">
        <v>0</v>
      </c>
      <c r="Q7">
        <v>0</v>
      </c>
      <c r="R7">
        <v>0</v>
      </c>
      <c r="S7">
        <v>0</v>
      </c>
    </row>
    <row r="8" spans="13:19" x14ac:dyDescent="0.3">
      <c r="M8" t="s">
        <v>367</v>
      </c>
      <c r="N8" t="str">
        <f>"130100"</f>
        <v>130100</v>
      </c>
      <c r="O8" t="s">
        <v>1784</v>
      </c>
      <c r="P8">
        <v>0</v>
      </c>
      <c r="Q8">
        <v>0</v>
      </c>
      <c r="R8">
        <v>0</v>
      </c>
      <c r="S8">
        <v>0</v>
      </c>
    </row>
    <row r="9" spans="13:19" x14ac:dyDescent="0.3">
      <c r="M9" t="s">
        <v>367</v>
      </c>
      <c r="N9" t="str">
        <f>"130900"</f>
        <v>130900</v>
      </c>
      <c r="O9" t="s">
        <v>374</v>
      </c>
      <c r="P9">
        <v>0</v>
      </c>
      <c r="Q9">
        <v>0</v>
      </c>
      <c r="R9">
        <v>0</v>
      </c>
      <c r="S9">
        <v>0</v>
      </c>
    </row>
    <row r="10" spans="13:19" x14ac:dyDescent="0.3">
      <c r="M10" t="s">
        <v>367</v>
      </c>
      <c r="N10" t="str">
        <f>"131000"</f>
        <v>131000</v>
      </c>
      <c r="O10" t="s">
        <v>375</v>
      </c>
      <c r="P10">
        <v>0</v>
      </c>
      <c r="Q10">
        <v>0</v>
      </c>
      <c r="R10">
        <v>0</v>
      </c>
      <c r="S10">
        <v>0</v>
      </c>
    </row>
    <row r="11" spans="13:19" x14ac:dyDescent="0.3">
      <c r="M11" t="s">
        <v>367</v>
      </c>
      <c r="N11" t="str">
        <f>"139000"</f>
        <v>139000</v>
      </c>
      <c r="O11" t="s">
        <v>1061</v>
      </c>
      <c r="P11">
        <v>0</v>
      </c>
      <c r="Q11">
        <v>0</v>
      </c>
      <c r="R11">
        <v>0</v>
      </c>
      <c r="S11">
        <v>0</v>
      </c>
    </row>
    <row r="12" spans="13:19" x14ac:dyDescent="0.3">
      <c r="M12" t="s">
        <v>367</v>
      </c>
      <c r="N12" t="str">
        <f>"235100"</f>
        <v>235100</v>
      </c>
      <c r="O12" t="s">
        <v>376</v>
      </c>
      <c r="P12">
        <v>0</v>
      </c>
      <c r="Q12">
        <v>0</v>
      </c>
      <c r="R12">
        <v>0</v>
      </c>
      <c r="S12">
        <v>0</v>
      </c>
    </row>
    <row r="13" spans="13:19" x14ac:dyDescent="0.3">
      <c r="M13" t="s">
        <v>367</v>
      </c>
      <c r="N13" t="str">
        <f>"244000"</f>
        <v>244000</v>
      </c>
      <c r="O13" t="s">
        <v>1785</v>
      </c>
      <c r="P13">
        <v>0</v>
      </c>
      <c r="Q13">
        <v>0</v>
      </c>
      <c r="R13">
        <v>0</v>
      </c>
      <c r="S13">
        <v>0</v>
      </c>
    </row>
    <row r="14" spans="13:19" x14ac:dyDescent="0.3">
      <c r="M14" t="s">
        <v>367</v>
      </c>
      <c r="N14" t="str">
        <f>"244100"</f>
        <v>244100</v>
      </c>
      <c r="O14" t="s">
        <v>377</v>
      </c>
      <c r="P14">
        <v>0</v>
      </c>
      <c r="Q14">
        <v>0</v>
      </c>
      <c r="R14">
        <v>0</v>
      </c>
      <c r="S14">
        <v>0</v>
      </c>
    </row>
    <row r="15" spans="13:19" x14ac:dyDescent="0.3">
      <c r="M15" t="s">
        <v>367</v>
      </c>
      <c r="N15" t="str">
        <f>"244200"</f>
        <v>244200</v>
      </c>
      <c r="O15" t="s">
        <v>1068</v>
      </c>
      <c r="P15">
        <v>0</v>
      </c>
      <c r="Q15">
        <v>0</v>
      </c>
      <c r="R15">
        <v>0</v>
      </c>
      <c r="S15">
        <v>0</v>
      </c>
    </row>
    <row r="16" spans="13:19" x14ac:dyDescent="0.3">
      <c r="M16" t="s">
        <v>367</v>
      </c>
      <c r="N16" t="str">
        <f>"244400"</f>
        <v>244400</v>
      </c>
      <c r="O16" t="s">
        <v>378</v>
      </c>
      <c r="P16">
        <v>0</v>
      </c>
      <c r="Q16">
        <v>0</v>
      </c>
      <c r="R16">
        <v>0</v>
      </c>
      <c r="S16">
        <v>0</v>
      </c>
    </row>
    <row r="17" spans="13:19" x14ac:dyDescent="0.3">
      <c r="M17" t="s">
        <v>367</v>
      </c>
      <c r="N17" t="str">
        <f>"245100"</f>
        <v>245100</v>
      </c>
      <c r="O17" t="s">
        <v>379</v>
      </c>
      <c r="P17">
        <v>0</v>
      </c>
      <c r="Q17">
        <v>0</v>
      </c>
      <c r="R17">
        <v>0</v>
      </c>
      <c r="S17">
        <v>0</v>
      </c>
    </row>
    <row r="18" spans="13:19" x14ac:dyDescent="0.3">
      <c r="M18" t="s">
        <v>367</v>
      </c>
      <c r="N18" t="str">
        <f>"272000"</f>
        <v>272000</v>
      </c>
      <c r="O18" t="s">
        <v>1489</v>
      </c>
      <c r="P18">
        <v>0</v>
      </c>
      <c r="Q18">
        <v>0</v>
      </c>
      <c r="R18">
        <v>0</v>
      </c>
      <c r="S18">
        <v>0</v>
      </c>
    </row>
    <row r="19" spans="13:19" x14ac:dyDescent="0.3">
      <c r="M19" t="s">
        <v>367</v>
      </c>
      <c r="N19" t="str">
        <f>"275100"</f>
        <v>275100</v>
      </c>
      <c r="O19" t="s">
        <v>380</v>
      </c>
      <c r="P19">
        <v>0</v>
      </c>
      <c r="Q19">
        <v>0</v>
      </c>
      <c r="R19">
        <v>0</v>
      </c>
      <c r="S19">
        <v>0</v>
      </c>
    </row>
    <row r="20" spans="13:19" x14ac:dyDescent="0.3">
      <c r="M20" t="s">
        <v>367</v>
      </c>
      <c r="N20" t="str">
        <f>"275800"</f>
        <v>275800</v>
      </c>
      <c r="O20" t="s">
        <v>381</v>
      </c>
      <c r="P20">
        <v>0</v>
      </c>
      <c r="Q20">
        <v>0</v>
      </c>
      <c r="R20">
        <v>0</v>
      </c>
      <c r="S20">
        <v>0</v>
      </c>
    </row>
    <row r="21" spans="13:19" x14ac:dyDescent="0.3">
      <c r="M21" t="s">
        <v>367</v>
      </c>
      <c r="N21" t="str">
        <f>"278000"</f>
        <v>278000</v>
      </c>
      <c r="O21" t="s">
        <v>382</v>
      </c>
      <c r="P21">
        <v>0</v>
      </c>
      <c r="Q21">
        <v>0</v>
      </c>
      <c r="R21">
        <v>0</v>
      </c>
      <c r="S21">
        <v>0</v>
      </c>
    </row>
    <row r="22" spans="13:19" x14ac:dyDescent="0.3">
      <c r="M22" t="s">
        <v>367</v>
      </c>
      <c r="N22" t="str">
        <f>"283510"</f>
        <v>283510</v>
      </c>
      <c r="O22" t="s">
        <v>1786</v>
      </c>
      <c r="P22">
        <v>0</v>
      </c>
      <c r="Q22">
        <v>0</v>
      </c>
      <c r="R22">
        <v>0</v>
      </c>
      <c r="S22">
        <v>0</v>
      </c>
    </row>
    <row r="23" spans="13:19" x14ac:dyDescent="0.3">
      <c r="M23" t="s">
        <v>367</v>
      </c>
      <c r="N23" t="str">
        <f>"284400"</f>
        <v>284400</v>
      </c>
      <c r="O23" t="s">
        <v>383</v>
      </c>
      <c r="P23">
        <v>0</v>
      </c>
      <c r="Q23">
        <v>0</v>
      </c>
      <c r="R23">
        <v>0</v>
      </c>
      <c r="S23">
        <v>0</v>
      </c>
    </row>
    <row r="24" spans="13:19" x14ac:dyDescent="0.3">
      <c r="M24" t="s">
        <v>367</v>
      </c>
      <c r="N24" t="str">
        <f>"284500"</f>
        <v>284500</v>
      </c>
      <c r="O24" t="s">
        <v>384</v>
      </c>
      <c r="P24">
        <v>0</v>
      </c>
      <c r="Q24">
        <v>0</v>
      </c>
      <c r="R24">
        <v>0</v>
      </c>
      <c r="S24">
        <v>0</v>
      </c>
    </row>
    <row r="25" spans="13:19" x14ac:dyDescent="0.3">
      <c r="M25" t="s">
        <v>367</v>
      </c>
      <c r="N25" t="str">
        <f>"401000"</f>
        <v>401000</v>
      </c>
      <c r="O25" t="s">
        <v>385</v>
      </c>
      <c r="P25">
        <v>0</v>
      </c>
      <c r="Q25">
        <v>0</v>
      </c>
      <c r="R25">
        <v>0</v>
      </c>
      <c r="S25">
        <v>0</v>
      </c>
    </row>
    <row r="26" spans="13:19" x14ac:dyDescent="0.3">
      <c r="M26" t="s">
        <v>367</v>
      </c>
      <c r="N26" t="str">
        <f>"401110"</f>
        <v>401110</v>
      </c>
      <c r="O26" t="s">
        <v>1787</v>
      </c>
      <c r="P26">
        <v>0</v>
      </c>
      <c r="Q26">
        <v>0</v>
      </c>
      <c r="R26">
        <v>0</v>
      </c>
      <c r="S26">
        <v>0</v>
      </c>
    </row>
    <row r="27" spans="13:19" x14ac:dyDescent="0.3">
      <c r="M27" t="s">
        <v>367</v>
      </c>
      <c r="N27" t="str">
        <f>"401120"</f>
        <v>401120</v>
      </c>
      <c r="O27" t="s">
        <v>1788</v>
      </c>
      <c r="P27">
        <v>0</v>
      </c>
      <c r="Q27">
        <v>0</v>
      </c>
      <c r="R27">
        <v>0</v>
      </c>
      <c r="S27">
        <v>0</v>
      </c>
    </row>
    <row r="28" spans="13:19" x14ac:dyDescent="0.3">
      <c r="M28" t="s">
        <v>367</v>
      </c>
      <c r="N28" t="str">
        <f>"408100"</f>
        <v>408100</v>
      </c>
      <c r="O28" t="s">
        <v>387</v>
      </c>
      <c r="P28">
        <v>0</v>
      </c>
      <c r="Q28">
        <v>0</v>
      </c>
      <c r="R28">
        <v>0</v>
      </c>
      <c r="S28">
        <v>0</v>
      </c>
    </row>
    <row r="29" spans="13:19" x14ac:dyDescent="0.3">
      <c r="M29" t="s">
        <v>367</v>
      </c>
      <c r="N29" t="str">
        <f>"411000"</f>
        <v>411000</v>
      </c>
      <c r="O29" t="s">
        <v>388</v>
      </c>
      <c r="P29">
        <v>0</v>
      </c>
      <c r="Q29">
        <v>0</v>
      </c>
      <c r="R29">
        <v>0</v>
      </c>
      <c r="S29">
        <v>0</v>
      </c>
    </row>
    <row r="30" spans="13:19" x14ac:dyDescent="0.3">
      <c r="M30" t="s">
        <v>367</v>
      </c>
      <c r="N30" t="str">
        <f>"421100"</f>
        <v>421100</v>
      </c>
      <c r="O30" t="s">
        <v>389</v>
      </c>
      <c r="P30">
        <v>0</v>
      </c>
      <c r="Q30">
        <v>0</v>
      </c>
      <c r="R30">
        <v>0</v>
      </c>
      <c r="S30">
        <v>0</v>
      </c>
    </row>
    <row r="31" spans="13:19" x14ac:dyDescent="0.3">
      <c r="M31" t="s">
        <v>367</v>
      </c>
      <c r="N31" t="str">
        <f>"421300"</f>
        <v>421300</v>
      </c>
      <c r="O31" t="s">
        <v>1789</v>
      </c>
      <c r="P31">
        <v>0</v>
      </c>
      <c r="Q31">
        <v>0</v>
      </c>
      <c r="R31">
        <v>0</v>
      </c>
      <c r="S31">
        <v>0</v>
      </c>
    </row>
    <row r="32" spans="13:19" x14ac:dyDescent="0.3">
      <c r="M32" t="s">
        <v>367</v>
      </c>
      <c r="N32" t="str">
        <f>"422000"</f>
        <v>422000</v>
      </c>
      <c r="O32" t="s">
        <v>392</v>
      </c>
      <c r="P32">
        <v>0</v>
      </c>
      <c r="Q32">
        <v>0</v>
      </c>
      <c r="R32">
        <v>0</v>
      </c>
      <c r="S32">
        <v>0</v>
      </c>
    </row>
    <row r="33" spans="13:19" x14ac:dyDescent="0.3">
      <c r="M33" t="s">
        <v>367</v>
      </c>
      <c r="N33" t="str">
        <f>"422100"</f>
        <v>422100</v>
      </c>
      <c r="O33" t="s">
        <v>393</v>
      </c>
      <c r="P33">
        <v>0</v>
      </c>
      <c r="Q33">
        <v>0</v>
      </c>
      <c r="R33">
        <v>0</v>
      </c>
      <c r="S33">
        <v>0</v>
      </c>
    </row>
    <row r="34" spans="13:19" x14ac:dyDescent="0.3">
      <c r="M34" t="s">
        <v>367</v>
      </c>
      <c r="N34" t="str">
        <f>"431100"</f>
        <v>431100</v>
      </c>
      <c r="O34" t="s">
        <v>1790</v>
      </c>
      <c r="P34">
        <v>0</v>
      </c>
      <c r="Q34">
        <v>0</v>
      </c>
      <c r="R34">
        <v>0</v>
      </c>
      <c r="S34">
        <v>0</v>
      </c>
    </row>
    <row r="35" spans="13:19" x14ac:dyDescent="0.3">
      <c r="M35" t="s">
        <v>367</v>
      </c>
      <c r="N35" t="str">
        <f>"431200"</f>
        <v>431200</v>
      </c>
      <c r="O35" t="s">
        <v>1791</v>
      </c>
      <c r="P35">
        <v>0</v>
      </c>
      <c r="Q35">
        <v>0</v>
      </c>
      <c r="R35">
        <v>0</v>
      </c>
      <c r="S35">
        <v>0</v>
      </c>
    </row>
    <row r="36" spans="13:19" x14ac:dyDescent="0.3">
      <c r="M36" t="s">
        <v>367</v>
      </c>
      <c r="N36" t="str">
        <f>"431300"</f>
        <v>431300</v>
      </c>
      <c r="O36" t="s">
        <v>1792</v>
      </c>
      <c r="P36">
        <v>0</v>
      </c>
      <c r="Q36">
        <v>0</v>
      </c>
      <c r="R36">
        <v>0</v>
      </c>
      <c r="S36">
        <v>0</v>
      </c>
    </row>
    <row r="37" spans="13:19" x14ac:dyDescent="0.3">
      <c r="M37" t="s">
        <v>367</v>
      </c>
      <c r="N37" t="str">
        <f>"431400"</f>
        <v>431400</v>
      </c>
      <c r="O37" t="s">
        <v>1793</v>
      </c>
      <c r="P37">
        <v>0</v>
      </c>
      <c r="Q37">
        <v>0</v>
      </c>
      <c r="R37">
        <v>0</v>
      </c>
      <c r="S37">
        <v>0</v>
      </c>
    </row>
    <row r="38" spans="13:19" x14ac:dyDescent="0.3">
      <c r="M38" t="s">
        <v>367</v>
      </c>
      <c r="N38" t="str">
        <f>"441000"</f>
        <v>441000</v>
      </c>
      <c r="O38" t="s">
        <v>399</v>
      </c>
      <c r="P38">
        <v>0</v>
      </c>
      <c r="Q38">
        <v>0</v>
      </c>
      <c r="R38">
        <v>0</v>
      </c>
      <c r="S38">
        <v>0</v>
      </c>
    </row>
    <row r="39" spans="13:19" x14ac:dyDescent="0.3">
      <c r="M39" t="s">
        <v>367</v>
      </c>
      <c r="N39" t="str">
        <f>"442810"</f>
        <v>442810</v>
      </c>
      <c r="O39" t="s">
        <v>1794</v>
      </c>
      <c r="P39">
        <v>0</v>
      </c>
      <c r="Q39">
        <v>0</v>
      </c>
      <c r="R39">
        <v>0</v>
      </c>
      <c r="S39">
        <v>0</v>
      </c>
    </row>
    <row r="40" spans="13:19" x14ac:dyDescent="0.3">
      <c r="M40" t="s">
        <v>367</v>
      </c>
      <c r="N40" t="str">
        <f>"443200"</f>
        <v>443200</v>
      </c>
      <c r="O40" t="s">
        <v>400</v>
      </c>
      <c r="P40">
        <v>0</v>
      </c>
      <c r="Q40">
        <v>0</v>
      </c>
      <c r="R40">
        <v>0</v>
      </c>
      <c r="S40">
        <v>0</v>
      </c>
    </row>
    <row r="41" spans="13:19" x14ac:dyDescent="0.3">
      <c r="M41" t="s">
        <v>367</v>
      </c>
      <c r="N41" t="str">
        <f>"444000"</f>
        <v>444000</v>
      </c>
      <c r="O41" t="s">
        <v>401</v>
      </c>
      <c r="P41">
        <v>0</v>
      </c>
      <c r="Q41">
        <v>0</v>
      </c>
      <c r="R41">
        <v>0</v>
      </c>
      <c r="S41">
        <v>0</v>
      </c>
    </row>
    <row r="42" spans="13:19" x14ac:dyDescent="0.3">
      <c r="M42" t="s">
        <v>367</v>
      </c>
      <c r="N42" t="str">
        <f>"444900"</f>
        <v>444900</v>
      </c>
      <c r="O42" t="s">
        <v>402</v>
      </c>
      <c r="P42">
        <v>0</v>
      </c>
      <c r="Q42">
        <v>0</v>
      </c>
      <c r="R42">
        <v>0</v>
      </c>
      <c r="S42">
        <v>0</v>
      </c>
    </row>
    <row r="43" spans="13:19" x14ac:dyDescent="0.3">
      <c r="M43" t="s">
        <v>367</v>
      </c>
      <c r="N43" t="str">
        <f>"445400"</f>
        <v>445400</v>
      </c>
      <c r="O43" t="s">
        <v>403</v>
      </c>
      <c r="P43">
        <v>0</v>
      </c>
      <c r="Q43">
        <v>0</v>
      </c>
      <c r="R43">
        <v>0</v>
      </c>
      <c r="S43">
        <v>0</v>
      </c>
    </row>
    <row r="44" spans="13:19" x14ac:dyDescent="0.3">
      <c r="M44" t="s">
        <v>367</v>
      </c>
      <c r="N44" t="str">
        <f>"446000"</f>
        <v>446000</v>
      </c>
      <c r="O44" t="s">
        <v>404</v>
      </c>
      <c r="P44">
        <v>0</v>
      </c>
      <c r="Q44">
        <v>0</v>
      </c>
      <c r="R44">
        <v>0</v>
      </c>
      <c r="S44">
        <v>0</v>
      </c>
    </row>
    <row r="45" spans="13:19" x14ac:dyDescent="0.3">
      <c r="M45" t="s">
        <v>367</v>
      </c>
      <c r="N45" t="str">
        <f>"447110"</f>
        <v>447110</v>
      </c>
      <c r="O45" t="s">
        <v>405</v>
      </c>
      <c r="P45">
        <v>0</v>
      </c>
      <c r="Q45">
        <v>0</v>
      </c>
      <c r="R45">
        <v>0</v>
      </c>
      <c r="S45">
        <v>0</v>
      </c>
    </row>
    <row r="46" spans="13:19" x14ac:dyDescent="0.3">
      <c r="M46" t="s">
        <v>367</v>
      </c>
      <c r="N46" t="str">
        <f>"447200"</f>
        <v>447200</v>
      </c>
      <c r="O46" t="s">
        <v>1522</v>
      </c>
      <c r="P46">
        <v>0</v>
      </c>
      <c r="Q46">
        <v>0</v>
      </c>
      <c r="R46">
        <v>0</v>
      </c>
      <c r="S46">
        <v>0</v>
      </c>
    </row>
    <row r="47" spans="13:19" x14ac:dyDescent="0.3">
      <c r="M47" t="s">
        <v>367</v>
      </c>
      <c r="N47" t="str">
        <f>"447210"</f>
        <v>447210</v>
      </c>
      <c r="O47" t="s">
        <v>1793</v>
      </c>
      <c r="P47">
        <v>0</v>
      </c>
      <c r="Q47">
        <v>0</v>
      </c>
      <c r="R47">
        <v>0</v>
      </c>
      <c r="S47">
        <v>0</v>
      </c>
    </row>
    <row r="48" spans="13:19" x14ac:dyDescent="0.3">
      <c r="M48" t="s">
        <v>367</v>
      </c>
      <c r="N48" t="str">
        <f>"447300"</f>
        <v>447300</v>
      </c>
      <c r="O48" t="s">
        <v>1795</v>
      </c>
      <c r="P48">
        <v>0</v>
      </c>
      <c r="Q48">
        <v>0</v>
      </c>
      <c r="R48">
        <v>0</v>
      </c>
      <c r="S48">
        <v>0</v>
      </c>
    </row>
    <row r="49" spans="13:19" x14ac:dyDescent="0.3">
      <c r="M49" t="s">
        <v>367</v>
      </c>
      <c r="N49" t="str">
        <f>"461200"</f>
        <v>461200</v>
      </c>
      <c r="O49" t="s">
        <v>1526</v>
      </c>
      <c r="P49">
        <v>0</v>
      </c>
      <c r="Q49">
        <v>0</v>
      </c>
      <c r="R49">
        <v>0</v>
      </c>
      <c r="S49">
        <v>0</v>
      </c>
    </row>
    <row r="50" spans="13:19" x14ac:dyDescent="0.3">
      <c r="M50" t="s">
        <v>367</v>
      </c>
      <c r="N50" t="str">
        <f>"461300"</f>
        <v>461300</v>
      </c>
      <c r="O50" t="s">
        <v>1796</v>
      </c>
      <c r="P50">
        <v>0</v>
      </c>
      <c r="Q50">
        <v>0</v>
      </c>
      <c r="R50">
        <v>0</v>
      </c>
      <c r="S50">
        <v>0</v>
      </c>
    </row>
    <row r="51" spans="13:19" x14ac:dyDescent="0.3">
      <c r="M51" t="s">
        <v>367</v>
      </c>
      <c r="N51" t="str">
        <f>"471121"</f>
        <v>471121</v>
      </c>
      <c r="O51" t="s">
        <v>1797</v>
      </c>
      <c r="P51">
        <v>0</v>
      </c>
      <c r="Q51">
        <v>0</v>
      </c>
      <c r="R51">
        <v>0</v>
      </c>
      <c r="S51">
        <v>0</v>
      </c>
    </row>
    <row r="52" spans="13:19" x14ac:dyDescent="0.3">
      <c r="M52" t="s">
        <v>367</v>
      </c>
      <c r="N52" t="str">
        <f>"471140"</f>
        <v>471140</v>
      </c>
      <c r="O52" t="s">
        <v>1798</v>
      </c>
      <c r="P52">
        <v>0</v>
      </c>
      <c r="Q52">
        <v>0</v>
      </c>
      <c r="R52">
        <v>0</v>
      </c>
      <c r="S52">
        <v>0</v>
      </c>
    </row>
    <row r="53" spans="13:19" x14ac:dyDescent="0.3">
      <c r="M53" t="s">
        <v>367</v>
      </c>
      <c r="N53" t="str">
        <f>"471150"</f>
        <v>471150</v>
      </c>
      <c r="O53" t="s">
        <v>414</v>
      </c>
      <c r="P53">
        <v>0</v>
      </c>
      <c r="Q53">
        <v>0</v>
      </c>
      <c r="R53">
        <v>0</v>
      </c>
      <c r="S53">
        <v>0</v>
      </c>
    </row>
    <row r="54" spans="13:19" x14ac:dyDescent="0.3">
      <c r="M54" t="s">
        <v>367</v>
      </c>
      <c r="N54" t="str">
        <f>"471180"</f>
        <v>471180</v>
      </c>
      <c r="O54" t="s">
        <v>417</v>
      </c>
      <c r="P54">
        <v>0</v>
      </c>
      <c r="Q54">
        <v>0</v>
      </c>
      <c r="R54">
        <v>0</v>
      </c>
      <c r="S54">
        <v>0</v>
      </c>
    </row>
    <row r="55" spans="13:19" x14ac:dyDescent="0.3">
      <c r="M55" t="s">
        <v>367</v>
      </c>
      <c r="N55" t="str">
        <f>"471500"</f>
        <v>471500</v>
      </c>
      <c r="O55" t="s">
        <v>419</v>
      </c>
      <c r="P55">
        <v>0</v>
      </c>
      <c r="Q55">
        <v>0</v>
      </c>
      <c r="R55">
        <v>0</v>
      </c>
      <c r="S55">
        <v>0</v>
      </c>
    </row>
    <row r="56" spans="13:19" x14ac:dyDescent="0.3">
      <c r="M56" t="s">
        <v>367</v>
      </c>
      <c r="N56" t="str">
        <f>"473100"</f>
        <v>473100</v>
      </c>
      <c r="O56" t="s">
        <v>1799</v>
      </c>
      <c r="P56">
        <v>0</v>
      </c>
      <c r="Q56">
        <v>0</v>
      </c>
      <c r="R56">
        <v>0</v>
      </c>
      <c r="S56">
        <v>0</v>
      </c>
    </row>
    <row r="57" spans="13:19" x14ac:dyDescent="0.3">
      <c r="M57" t="s">
        <v>367</v>
      </c>
      <c r="N57" t="str">
        <f>"476000"</f>
        <v>476000</v>
      </c>
      <c r="O57" t="s">
        <v>421</v>
      </c>
      <c r="P57">
        <v>0</v>
      </c>
      <c r="Q57">
        <v>0</v>
      </c>
      <c r="R57">
        <v>0</v>
      </c>
      <c r="S57">
        <v>0</v>
      </c>
    </row>
    <row r="58" spans="13:19" x14ac:dyDescent="0.3">
      <c r="M58" t="s">
        <v>367</v>
      </c>
      <c r="N58" t="str">
        <f>"477100"</f>
        <v>477100</v>
      </c>
      <c r="O58" t="s">
        <v>423</v>
      </c>
      <c r="P58">
        <v>0</v>
      </c>
      <c r="Q58">
        <v>0</v>
      </c>
      <c r="R58">
        <v>0</v>
      </c>
      <c r="S58">
        <v>0</v>
      </c>
    </row>
    <row r="59" spans="13:19" x14ac:dyDescent="0.3">
      <c r="M59" t="s">
        <v>367</v>
      </c>
      <c r="N59" t="str">
        <f>"481000"</f>
        <v>481000</v>
      </c>
      <c r="O59" t="s">
        <v>424</v>
      </c>
      <c r="P59">
        <v>0</v>
      </c>
      <c r="Q59">
        <v>0</v>
      </c>
      <c r="R59">
        <v>0</v>
      </c>
      <c r="S59">
        <v>0</v>
      </c>
    </row>
    <row r="60" spans="13:19" x14ac:dyDescent="0.3">
      <c r="M60" t="s">
        <v>367</v>
      </c>
      <c r="N60" t="str">
        <f>"521000"</f>
        <v>521000</v>
      </c>
      <c r="O60" t="s">
        <v>425</v>
      </c>
      <c r="P60">
        <v>0</v>
      </c>
      <c r="Q60">
        <v>0</v>
      </c>
      <c r="R60">
        <v>0</v>
      </c>
      <c r="S60">
        <v>0</v>
      </c>
    </row>
    <row r="61" spans="13:19" x14ac:dyDescent="0.3">
      <c r="M61" t="s">
        <v>367</v>
      </c>
      <c r="N61" t="str">
        <f>"571100"</f>
        <v>571100</v>
      </c>
      <c r="O61" t="s">
        <v>362</v>
      </c>
      <c r="P61">
        <v>0</v>
      </c>
      <c r="Q61">
        <v>0</v>
      </c>
      <c r="R61">
        <v>0</v>
      </c>
      <c r="S61">
        <v>0</v>
      </c>
    </row>
    <row r="62" spans="13:19" x14ac:dyDescent="0.3">
      <c r="M62" t="s">
        <v>367</v>
      </c>
      <c r="N62" t="str">
        <f>"585000"</f>
        <v>585000</v>
      </c>
      <c r="O62" t="s">
        <v>427</v>
      </c>
      <c r="P62">
        <v>0</v>
      </c>
      <c r="Q62">
        <v>0</v>
      </c>
      <c r="R62">
        <v>0</v>
      </c>
      <c r="S62">
        <v>0</v>
      </c>
    </row>
    <row r="63" spans="13:19" x14ac:dyDescent="0.3">
      <c r="M63" t="s">
        <v>367</v>
      </c>
      <c r="N63" t="str">
        <f>"604300"</f>
        <v>604300</v>
      </c>
      <c r="O63" t="s">
        <v>1800</v>
      </c>
      <c r="P63">
        <v>0</v>
      </c>
      <c r="Q63">
        <v>0</v>
      </c>
      <c r="R63">
        <v>0</v>
      </c>
      <c r="S63">
        <v>0</v>
      </c>
    </row>
    <row r="64" spans="13:19" x14ac:dyDescent="0.3">
      <c r="M64" t="s">
        <v>367</v>
      </c>
      <c r="N64" t="str">
        <f>"604710"</f>
        <v>604710</v>
      </c>
      <c r="O64" t="s">
        <v>430</v>
      </c>
      <c r="P64">
        <v>0</v>
      </c>
      <c r="Q64">
        <v>0</v>
      </c>
      <c r="R64">
        <v>0</v>
      </c>
      <c r="S64">
        <v>0</v>
      </c>
    </row>
    <row r="65" spans="13:19" x14ac:dyDescent="0.3">
      <c r="M65" t="s">
        <v>367</v>
      </c>
      <c r="N65" t="str">
        <f>"605100"</f>
        <v>605100</v>
      </c>
      <c r="O65" t="s">
        <v>431</v>
      </c>
      <c r="P65">
        <v>0</v>
      </c>
      <c r="Q65">
        <v>0</v>
      </c>
      <c r="R65">
        <v>0</v>
      </c>
      <c r="S65">
        <v>0</v>
      </c>
    </row>
    <row r="66" spans="13:19" x14ac:dyDescent="0.3">
      <c r="M66" t="s">
        <v>367</v>
      </c>
      <c r="N66" t="str">
        <f>"605200"</f>
        <v>605200</v>
      </c>
      <c r="O66" t="s">
        <v>432</v>
      </c>
      <c r="P66">
        <v>0</v>
      </c>
      <c r="Q66">
        <v>0</v>
      </c>
      <c r="R66">
        <v>0</v>
      </c>
      <c r="S66">
        <v>0</v>
      </c>
    </row>
    <row r="67" spans="13:19" x14ac:dyDescent="0.3">
      <c r="M67" t="s">
        <v>367</v>
      </c>
      <c r="N67" t="str">
        <f>"605300"</f>
        <v>605300</v>
      </c>
      <c r="O67" t="s">
        <v>433</v>
      </c>
      <c r="P67">
        <v>0</v>
      </c>
      <c r="Q67">
        <v>0</v>
      </c>
      <c r="R67">
        <v>0</v>
      </c>
      <c r="S67">
        <v>0</v>
      </c>
    </row>
    <row r="68" spans="13:19" x14ac:dyDescent="0.3">
      <c r="M68" t="s">
        <v>367</v>
      </c>
      <c r="N68" t="str">
        <f>"605400"</f>
        <v>605400</v>
      </c>
      <c r="O68" t="s">
        <v>1801</v>
      </c>
      <c r="P68">
        <v>0</v>
      </c>
      <c r="Q68">
        <v>0</v>
      </c>
      <c r="R68">
        <v>0</v>
      </c>
      <c r="S68">
        <v>0</v>
      </c>
    </row>
    <row r="69" spans="13:19" x14ac:dyDescent="0.3">
      <c r="M69" t="s">
        <v>367</v>
      </c>
      <c r="N69" t="str">
        <f>"605410"</f>
        <v>605410</v>
      </c>
      <c r="O69" t="s">
        <v>1802</v>
      </c>
      <c r="P69">
        <v>0</v>
      </c>
      <c r="Q69">
        <v>0</v>
      </c>
      <c r="R69">
        <v>0</v>
      </c>
      <c r="S69">
        <v>0</v>
      </c>
    </row>
    <row r="70" spans="13:19" x14ac:dyDescent="0.3">
      <c r="M70" t="s">
        <v>367</v>
      </c>
      <c r="N70" t="str">
        <f>"605420"</f>
        <v>605420</v>
      </c>
      <c r="O70" t="s">
        <v>1803</v>
      </c>
      <c r="P70">
        <v>0</v>
      </c>
      <c r="Q70">
        <v>0</v>
      </c>
      <c r="R70">
        <v>0</v>
      </c>
      <c r="S70">
        <v>0</v>
      </c>
    </row>
    <row r="71" spans="13:19" x14ac:dyDescent="0.3">
      <c r="M71" t="s">
        <v>367</v>
      </c>
      <c r="N71" t="str">
        <f>"605430"</f>
        <v>605430</v>
      </c>
      <c r="O71" t="s">
        <v>437</v>
      </c>
      <c r="P71">
        <v>0</v>
      </c>
      <c r="Q71">
        <v>0</v>
      </c>
      <c r="R71">
        <v>0</v>
      </c>
      <c r="S71">
        <v>0</v>
      </c>
    </row>
    <row r="72" spans="13:19" x14ac:dyDescent="0.3">
      <c r="M72" t="s">
        <v>367</v>
      </c>
      <c r="N72" t="str">
        <f>"605500"</f>
        <v>605500</v>
      </c>
      <c r="O72" t="s">
        <v>1161</v>
      </c>
      <c r="P72">
        <v>0</v>
      </c>
      <c r="Q72">
        <v>0</v>
      </c>
      <c r="R72">
        <v>0</v>
      </c>
      <c r="S72">
        <v>0</v>
      </c>
    </row>
    <row r="73" spans="13:19" x14ac:dyDescent="0.3">
      <c r="M73" t="s">
        <v>367</v>
      </c>
      <c r="N73" t="str">
        <f>"605600"</f>
        <v>605600</v>
      </c>
      <c r="O73" t="s">
        <v>438</v>
      </c>
      <c r="P73">
        <v>0</v>
      </c>
      <c r="Q73">
        <v>0</v>
      </c>
      <c r="R73">
        <v>0</v>
      </c>
      <c r="S73">
        <v>0</v>
      </c>
    </row>
    <row r="74" spans="13:19" x14ac:dyDescent="0.3">
      <c r="M74" t="s">
        <v>367</v>
      </c>
      <c r="N74" t="str">
        <f>"605700"</f>
        <v>605700</v>
      </c>
      <c r="O74" t="s">
        <v>1408</v>
      </c>
      <c r="P74">
        <v>0</v>
      </c>
      <c r="Q74">
        <v>0</v>
      </c>
      <c r="R74">
        <v>0</v>
      </c>
      <c r="S74">
        <v>0</v>
      </c>
    </row>
    <row r="75" spans="13:19" x14ac:dyDescent="0.3">
      <c r="M75" t="s">
        <v>367</v>
      </c>
      <c r="N75" t="str">
        <f>"605800"</f>
        <v>605800</v>
      </c>
      <c r="O75" t="s">
        <v>440</v>
      </c>
      <c r="P75">
        <v>0</v>
      </c>
      <c r="Q75">
        <v>0</v>
      </c>
      <c r="R75">
        <v>0</v>
      </c>
      <c r="S75">
        <v>0</v>
      </c>
    </row>
    <row r="76" spans="13:19" x14ac:dyDescent="0.3">
      <c r="M76" t="s">
        <v>367</v>
      </c>
      <c r="N76" t="str">
        <f>"616000"</f>
        <v>616000</v>
      </c>
      <c r="O76" t="s">
        <v>441</v>
      </c>
      <c r="P76">
        <v>0</v>
      </c>
      <c r="Q76">
        <v>0</v>
      </c>
      <c r="R76">
        <v>0</v>
      </c>
      <c r="S76">
        <v>0</v>
      </c>
    </row>
    <row r="77" spans="13:19" x14ac:dyDescent="0.3">
      <c r="M77" t="s">
        <v>367</v>
      </c>
      <c r="N77" t="str">
        <f>"618100"</f>
        <v>618100</v>
      </c>
      <c r="O77" t="s">
        <v>442</v>
      </c>
      <c r="P77">
        <v>0</v>
      </c>
      <c r="Q77">
        <v>0</v>
      </c>
      <c r="R77">
        <v>0</v>
      </c>
      <c r="S77">
        <v>0</v>
      </c>
    </row>
    <row r="78" spans="13:19" x14ac:dyDescent="0.3">
      <c r="M78" t="s">
        <v>367</v>
      </c>
      <c r="N78" t="str">
        <f>"621100"</f>
        <v>621100</v>
      </c>
      <c r="O78" t="s">
        <v>1804</v>
      </c>
      <c r="P78">
        <v>0</v>
      </c>
      <c r="Q78">
        <v>0</v>
      </c>
      <c r="R78">
        <v>0</v>
      </c>
      <c r="S78">
        <v>0</v>
      </c>
    </row>
    <row r="79" spans="13:19" x14ac:dyDescent="0.3">
      <c r="M79" t="s">
        <v>367</v>
      </c>
      <c r="N79" t="str">
        <f>"621200"</f>
        <v>621200</v>
      </c>
      <c r="O79" t="s">
        <v>1805</v>
      </c>
      <c r="P79">
        <v>0</v>
      </c>
      <c r="Q79">
        <v>0</v>
      </c>
      <c r="R79">
        <v>0</v>
      </c>
      <c r="S79">
        <v>0</v>
      </c>
    </row>
    <row r="80" spans="13:19" x14ac:dyDescent="0.3">
      <c r="M80" t="s">
        <v>367</v>
      </c>
      <c r="N80" t="str">
        <f>"622000"</f>
        <v>622000</v>
      </c>
      <c r="O80" t="s">
        <v>446</v>
      </c>
      <c r="P80">
        <v>0</v>
      </c>
      <c r="Q80">
        <v>0</v>
      </c>
      <c r="R80">
        <v>0</v>
      </c>
      <c r="S80">
        <v>0</v>
      </c>
    </row>
    <row r="81" spans="13:19" x14ac:dyDescent="0.3">
      <c r="M81" t="s">
        <v>367</v>
      </c>
      <c r="N81" t="str">
        <f>"624300"</f>
        <v>624300</v>
      </c>
      <c r="O81" t="s">
        <v>1806</v>
      </c>
      <c r="P81">
        <v>0</v>
      </c>
      <c r="Q81">
        <v>0</v>
      </c>
      <c r="R81">
        <v>0</v>
      </c>
      <c r="S81">
        <v>0</v>
      </c>
    </row>
    <row r="82" spans="13:19" x14ac:dyDescent="0.3">
      <c r="M82" t="s">
        <v>367</v>
      </c>
      <c r="N82" t="str">
        <f>"624310"</f>
        <v>624310</v>
      </c>
      <c r="O82" t="s">
        <v>1807</v>
      </c>
      <c r="P82">
        <v>0</v>
      </c>
      <c r="Q82">
        <v>0</v>
      </c>
      <c r="R82">
        <v>0</v>
      </c>
      <c r="S82">
        <v>0</v>
      </c>
    </row>
    <row r="83" spans="13:19" x14ac:dyDescent="0.3">
      <c r="M83" t="s">
        <v>367</v>
      </c>
      <c r="N83" t="str">
        <f>"624320"</f>
        <v>624320</v>
      </c>
      <c r="O83" t="s">
        <v>1196</v>
      </c>
      <c r="P83">
        <v>0</v>
      </c>
      <c r="Q83">
        <v>0</v>
      </c>
      <c r="R83">
        <v>0</v>
      </c>
      <c r="S83">
        <v>0</v>
      </c>
    </row>
    <row r="84" spans="13:19" x14ac:dyDescent="0.3">
      <c r="M84" t="s">
        <v>367</v>
      </c>
      <c r="N84" t="str">
        <f>"624330"</f>
        <v>624330</v>
      </c>
      <c r="O84" t="s">
        <v>1808</v>
      </c>
      <c r="P84">
        <v>0</v>
      </c>
      <c r="Q84">
        <v>0</v>
      </c>
      <c r="R84">
        <v>0</v>
      </c>
      <c r="S84">
        <v>0</v>
      </c>
    </row>
    <row r="85" spans="13:19" x14ac:dyDescent="0.3">
      <c r="M85" t="s">
        <v>367</v>
      </c>
      <c r="N85" t="str">
        <f>"624340"</f>
        <v>624340</v>
      </c>
      <c r="O85" t="s">
        <v>1809</v>
      </c>
      <c r="P85">
        <v>0</v>
      </c>
      <c r="Q85">
        <v>0</v>
      </c>
      <c r="R85">
        <v>0</v>
      </c>
      <c r="S85">
        <v>0</v>
      </c>
    </row>
    <row r="86" spans="13:19" x14ac:dyDescent="0.3">
      <c r="M86" t="s">
        <v>367</v>
      </c>
      <c r="N86" t="str">
        <f>"624800"</f>
        <v>624800</v>
      </c>
      <c r="O86" t="s">
        <v>453</v>
      </c>
      <c r="P86">
        <v>0</v>
      </c>
      <c r="Q86">
        <v>0</v>
      </c>
      <c r="R86">
        <v>0</v>
      </c>
      <c r="S86">
        <v>0</v>
      </c>
    </row>
    <row r="87" spans="13:19" x14ac:dyDescent="0.3">
      <c r="M87" t="s">
        <v>367</v>
      </c>
      <c r="N87" t="str">
        <f>"624810"</f>
        <v>624810</v>
      </c>
      <c r="O87" t="s">
        <v>1417</v>
      </c>
      <c r="P87">
        <v>0</v>
      </c>
      <c r="Q87">
        <v>0</v>
      </c>
      <c r="R87">
        <v>0</v>
      </c>
      <c r="S87">
        <v>0</v>
      </c>
    </row>
    <row r="88" spans="13:19" x14ac:dyDescent="0.3">
      <c r="M88" t="s">
        <v>367</v>
      </c>
      <c r="N88" t="str">
        <f>"62500"</f>
        <v>62500</v>
      </c>
      <c r="O88" t="s">
        <v>454</v>
      </c>
      <c r="P88">
        <v>0</v>
      </c>
      <c r="Q88">
        <v>0</v>
      </c>
      <c r="R88">
        <v>0</v>
      </c>
      <c r="S88">
        <v>0</v>
      </c>
    </row>
    <row r="89" spans="13:19" x14ac:dyDescent="0.3">
      <c r="M89" t="s">
        <v>367</v>
      </c>
      <c r="N89" t="str">
        <f>"625200"</f>
        <v>625200</v>
      </c>
      <c r="O89" t="s">
        <v>1810</v>
      </c>
      <c r="P89">
        <v>0</v>
      </c>
      <c r="Q89">
        <v>0</v>
      </c>
      <c r="R89">
        <v>0</v>
      </c>
      <c r="S89">
        <v>0</v>
      </c>
    </row>
    <row r="90" spans="13:19" x14ac:dyDescent="0.3">
      <c r="M90" t="s">
        <v>367</v>
      </c>
      <c r="N90" t="str">
        <f>"626410"</f>
        <v>626410</v>
      </c>
      <c r="O90" t="s">
        <v>1811</v>
      </c>
      <c r="P90">
        <v>0</v>
      </c>
      <c r="Q90">
        <v>0</v>
      </c>
      <c r="R90">
        <v>0</v>
      </c>
      <c r="S90">
        <v>0</v>
      </c>
    </row>
    <row r="91" spans="13:19" x14ac:dyDescent="0.3">
      <c r="M91" t="s">
        <v>367</v>
      </c>
      <c r="N91" t="str">
        <f>"627200"</f>
        <v>627200</v>
      </c>
      <c r="O91" t="s">
        <v>1812</v>
      </c>
      <c r="P91">
        <v>0</v>
      </c>
      <c r="Q91">
        <v>0</v>
      </c>
      <c r="R91">
        <v>0</v>
      </c>
      <c r="S91">
        <v>0</v>
      </c>
    </row>
    <row r="92" spans="13:19" x14ac:dyDescent="0.3">
      <c r="M92" t="s">
        <v>367</v>
      </c>
      <c r="N92" t="str">
        <f>"627600"</f>
        <v>627600</v>
      </c>
      <c r="O92" t="s">
        <v>461</v>
      </c>
      <c r="P92">
        <v>0</v>
      </c>
      <c r="Q92">
        <v>0</v>
      </c>
      <c r="R92">
        <v>0</v>
      </c>
      <c r="S92">
        <v>0</v>
      </c>
    </row>
    <row r="93" spans="13:19" x14ac:dyDescent="0.3">
      <c r="M93" t="s">
        <v>367</v>
      </c>
      <c r="N93" t="str">
        <f>"628100"</f>
        <v>628100</v>
      </c>
      <c r="O93" t="s">
        <v>463</v>
      </c>
      <c r="P93">
        <v>0</v>
      </c>
      <c r="Q93">
        <v>0</v>
      </c>
      <c r="R93">
        <v>0</v>
      </c>
      <c r="S93">
        <v>0</v>
      </c>
    </row>
    <row r="94" spans="13:19" x14ac:dyDescent="0.3">
      <c r="M94" t="s">
        <v>367</v>
      </c>
      <c r="N94" t="str">
        <f>"628300"</f>
        <v>628300</v>
      </c>
      <c r="O94" t="s">
        <v>465</v>
      </c>
      <c r="P94">
        <v>0</v>
      </c>
      <c r="Q94">
        <v>0</v>
      </c>
      <c r="R94">
        <v>0</v>
      </c>
      <c r="S94">
        <v>0</v>
      </c>
    </row>
    <row r="95" spans="13:19" x14ac:dyDescent="0.3">
      <c r="M95" t="s">
        <v>367</v>
      </c>
      <c r="N95" t="str">
        <f>"628800"</f>
        <v>628800</v>
      </c>
      <c r="O95" t="s">
        <v>466</v>
      </c>
      <c r="P95">
        <v>0</v>
      </c>
      <c r="Q95">
        <v>0</v>
      </c>
      <c r="R95">
        <v>0</v>
      </c>
      <c r="S95">
        <v>0</v>
      </c>
    </row>
    <row r="96" spans="13:19" x14ac:dyDescent="0.3">
      <c r="M96" t="s">
        <v>367</v>
      </c>
      <c r="N96" t="str">
        <f>"631700"</f>
        <v>631700</v>
      </c>
      <c r="O96" t="s">
        <v>1218</v>
      </c>
      <c r="P96">
        <v>0</v>
      </c>
      <c r="Q96">
        <v>0</v>
      </c>
      <c r="R96">
        <v>0</v>
      </c>
      <c r="S96">
        <v>0</v>
      </c>
    </row>
    <row r="97" spans="13:19" x14ac:dyDescent="0.3">
      <c r="M97" t="s">
        <v>367</v>
      </c>
      <c r="N97" t="str">
        <f>"631800"</f>
        <v>631800</v>
      </c>
      <c r="O97" t="s">
        <v>468</v>
      </c>
      <c r="P97">
        <v>0</v>
      </c>
      <c r="Q97">
        <v>0</v>
      </c>
      <c r="R97">
        <v>0</v>
      </c>
      <c r="S97">
        <v>0</v>
      </c>
    </row>
    <row r="98" spans="13:19" x14ac:dyDescent="0.3">
      <c r="M98" t="s">
        <v>367</v>
      </c>
      <c r="N98" t="str">
        <f>"632400"</f>
        <v>632400</v>
      </c>
      <c r="O98" t="s">
        <v>1813</v>
      </c>
      <c r="P98">
        <v>0</v>
      </c>
      <c r="Q98">
        <v>0</v>
      </c>
      <c r="R98">
        <v>0</v>
      </c>
      <c r="S98">
        <v>0</v>
      </c>
    </row>
    <row r="99" spans="13:19" x14ac:dyDescent="0.3">
      <c r="M99" t="s">
        <v>367</v>
      </c>
      <c r="N99" t="str">
        <f>"632410"</f>
        <v>632410</v>
      </c>
      <c r="O99" t="s">
        <v>470</v>
      </c>
      <c r="P99">
        <v>0</v>
      </c>
      <c r="Q99">
        <v>0</v>
      </c>
      <c r="R99">
        <v>0</v>
      </c>
      <c r="S99">
        <v>0</v>
      </c>
    </row>
    <row r="100" spans="13:19" x14ac:dyDescent="0.3">
      <c r="M100" t="s">
        <v>367</v>
      </c>
      <c r="N100" t="str">
        <f>"632420"</f>
        <v>632420</v>
      </c>
      <c r="O100" t="s">
        <v>1814</v>
      </c>
      <c r="P100">
        <v>0</v>
      </c>
      <c r="Q100">
        <v>0</v>
      </c>
      <c r="R100">
        <v>0</v>
      </c>
      <c r="S100">
        <v>0</v>
      </c>
    </row>
    <row r="101" spans="13:19" x14ac:dyDescent="0.3">
      <c r="M101" t="s">
        <v>367</v>
      </c>
      <c r="N101" t="str">
        <f>"632430"</f>
        <v>632430</v>
      </c>
      <c r="O101" t="s">
        <v>471</v>
      </c>
      <c r="P101">
        <v>0</v>
      </c>
      <c r="Q101">
        <v>0</v>
      </c>
      <c r="R101">
        <v>0</v>
      </c>
      <c r="S101">
        <v>0</v>
      </c>
    </row>
    <row r="102" spans="13:19" x14ac:dyDescent="0.3">
      <c r="M102" t="s">
        <v>367</v>
      </c>
      <c r="N102" t="str">
        <f>"632440"</f>
        <v>632440</v>
      </c>
      <c r="O102" t="s">
        <v>473</v>
      </c>
      <c r="P102">
        <v>0</v>
      </c>
      <c r="Q102">
        <v>0</v>
      </c>
      <c r="R102">
        <v>0</v>
      </c>
      <c r="S102">
        <v>0</v>
      </c>
    </row>
    <row r="103" spans="13:19" x14ac:dyDescent="0.3">
      <c r="M103" t="s">
        <v>367</v>
      </c>
      <c r="N103" t="str">
        <f>"632500"</f>
        <v>632500</v>
      </c>
      <c r="O103" t="s">
        <v>1815</v>
      </c>
      <c r="P103">
        <v>0</v>
      </c>
      <c r="Q103">
        <v>0</v>
      </c>
      <c r="R103">
        <v>0</v>
      </c>
      <c r="S103">
        <v>0</v>
      </c>
    </row>
    <row r="104" spans="13:19" x14ac:dyDescent="0.3">
      <c r="M104" t="s">
        <v>367</v>
      </c>
      <c r="N104" t="str">
        <f>"632510"</f>
        <v>632510</v>
      </c>
      <c r="O104" t="s">
        <v>1816</v>
      </c>
      <c r="P104">
        <v>0</v>
      </c>
      <c r="Q104">
        <v>0</v>
      </c>
      <c r="R104">
        <v>0</v>
      </c>
      <c r="S104">
        <v>0</v>
      </c>
    </row>
    <row r="105" spans="13:19" x14ac:dyDescent="0.3">
      <c r="M105" t="s">
        <v>367</v>
      </c>
      <c r="N105" t="str">
        <f>"632800"</f>
        <v>632800</v>
      </c>
      <c r="O105" t="s">
        <v>474</v>
      </c>
      <c r="P105">
        <v>0</v>
      </c>
      <c r="Q105">
        <v>0</v>
      </c>
      <c r="R105">
        <v>0</v>
      </c>
      <c r="S105">
        <v>0</v>
      </c>
    </row>
    <row r="106" spans="13:19" x14ac:dyDescent="0.3">
      <c r="M106" t="s">
        <v>367</v>
      </c>
      <c r="N106" t="str">
        <f>"632810"</f>
        <v>632810</v>
      </c>
      <c r="O106" t="s">
        <v>475</v>
      </c>
      <c r="P106">
        <v>0</v>
      </c>
      <c r="Q106">
        <v>0</v>
      </c>
      <c r="R106">
        <v>0</v>
      </c>
      <c r="S106">
        <v>0</v>
      </c>
    </row>
    <row r="107" spans="13:19" x14ac:dyDescent="0.3">
      <c r="M107" t="s">
        <v>367</v>
      </c>
      <c r="N107" t="str">
        <f>"632820"</f>
        <v>632820</v>
      </c>
      <c r="O107" t="s">
        <v>479</v>
      </c>
      <c r="P107">
        <v>0</v>
      </c>
      <c r="Q107">
        <v>0</v>
      </c>
      <c r="R107">
        <v>0</v>
      </c>
      <c r="S107">
        <v>0</v>
      </c>
    </row>
    <row r="108" spans="13:19" x14ac:dyDescent="0.3">
      <c r="M108" t="s">
        <v>367</v>
      </c>
      <c r="N108" t="str">
        <f>"632830"</f>
        <v>632830</v>
      </c>
      <c r="O108" t="s">
        <v>1817</v>
      </c>
      <c r="P108">
        <v>0</v>
      </c>
      <c r="Q108">
        <v>0</v>
      </c>
      <c r="R108">
        <v>0</v>
      </c>
      <c r="S108">
        <v>0</v>
      </c>
    </row>
    <row r="109" spans="13:19" x14ac:dyDescent="0.3">
      <c r="M109" t="s">
        <v>367</v>
      </c>
      <c r="N109" t="str">
        <f>"634300"</f>
        <v>634300</v>
      </c>
      <c r="O109" t="s">
        <v>480</v>
      </c>
      <c r="P109">
        <v>0</v>
      </c>
      <c r="Q109">
        <v>0</v>
      </c>
      <c r="R109">
        <v>0</v>
      </c>
      <c r="S109">
        <v>0</v>
      </c>
    </row>
    <row r="110" spans="13:19" x14ac:dyDescent="0.3">
      <c r="M110" t="s">
        <v>367</v>
      </c>
      <c r="N110" t="str">
        <f>"634500"</f>
        <v>634500</v>
      </c>
      <c r="O110" t="s">
        <v>481</v>
      </c>
      <c r="P110">
        <v>0</v>
      </c>
      <c r="Q110">
        <v>0</v>
      </c>
      <c r="R110">
        <v>0</v>
      </c>
      <c r="S110">
        <v>0</v>
      </c>
    </row>
    <row r="111" spans="13:19" x14ac:dyDescent="0.3">
      <c r="M111" t="s">
        <v>367</v>
      </c>
      <c r="N111" t="str">
        <f>"638100"</f>
        <v>638100</v>
      </c>
      <c r="O111" t="s">
        <v>1237</v>
      </c>
      <c r="P111">
        <v>0</v>
      </c>
      <c r="Q111">
        <v>0</v>
      </c>
      <c r="R111">
        <v>0</v>
      </c>
      <c r="S111">
        <v>0</v>
      </c>
    </row>
    <row r="112" spans="13:19" x14ac:dyDescent="0.3">
      <c r="M112" t="s">
        <v>367</v>
      </c>
      <c r="N112" t="str">
        <f>"638200"</f>
        <v>638200</v>
      </c>
      <c r="O112" t="s">
        <v>482</v>
      </c>
      <c r="P112">
        <v>0</v>
      </c>
      <c r="Q112">
        <v>0</v>
      </c>
      <c r="R112">
        <v>0</v>
      </c>
      <c r="S112">
        <v>0</v>
      </c>
    </row>
    <row r="113" spans="13:19" x14ac:dyDescent="0.3">
      <c r="M113" t="s">
        <v>367</v>
      </c>
      <c r="N113" t="str">
        <f>"638300"</f>
        <v>638300</v>
      </c>
      <c r="O113" t="s">
        <v>483</v>
      </c>
      <c r="P113">
        <v>0</v>
      </c>
      <c r="Q113">
        <v>0</v>
      </c>
      <c r="R113">
        <v>0</v>
      </c>
      <c r="S113">
        <v>0</v>
      </c>
    </row>
    <row r="114" spans="13:19" x14ac:dyDescent="0.3">
      <c r="M114" t="s">
        <v>367</v>
      </c>
      <c r="N114" t="str">
        <f>"638400"</f>
        <v>638400</v>
      </c>
      <c r="O114" t="s">
        <v>484</v>
      </c>
      <c r="P114">
        <v>0</v>
      </c>
      <c r="Q114">
        <v>0</v>
      </c>
      <c r="R114">
        <v>0</v>
      </c>
      <c r="S114">
        <v>0</v>
      </c>
    </row>
    <row r="115" spans="13:19" x14ac:dyDescent="0.3">
      <c r="M115" t="s">
        <v>367</v>
      </c>
      <c r="N115" t="str">
        <f>"638410"</f>
        <v>638410</v>
      </c>
      <c r="O115" t="s">
        <v>1818</v>
      </c>
      <c r="P115">
        <v>0</v>
      </c>
      <c r="Q115">
        <v>0</v>
      </c>
      <c r="R115">
        <v>0</v>
      </c>
      <c r="S115">
        <v>0</v>
      </c>
    </row>
    <row r="116" spans="13:19" x14ac:dyDescent="0.3">
      <c r="M116" t="s">
        <v>367</v>
      </c>
      <c r="N116" t="str">
        <f>"641100"</f>
        <v>641100</v>
      </c>
      <c r="O116" t="s">
        <v>486</v>
      </c>
      <c r="P116">
        <v>0</v>
      </c>
      <c r="Q116">
        <v>0</v>
      </c>
      <c r="R116">
        <v>0</v>
      </c>
      <c r="S116">
        <v>0</v>
      </c>
    </row>
    <row r="117" spans="13:19" x14ac:dyDescent="0.3">
      <c r="M117" t="s">
        <v>367</v>
      </c>
      <c r="N117" t="str">
        <f>"641200"</f>
        <v>641200</v>
      </c>
      <c r="O117" t="s">
        <v>487</v>
      </c>
      <c r="P117">
        <v>0</v>
      </c>
      <c r="Q117">
        <v>0</v>
      </c>
      <c r="R117">
        <v>0</v>
      </c>
      <c r="S117">
        <v>0</v>
      </c>
    </row>
    <row r="118" spans="13:19" x14ac:dyDescent="0.3">
      <c r="M118" t="s">
        <v>367</v>
      </c>
      <c r="N118" t="str">
        <f>"641300"</f>
        <v>641300</v>
      </c>
      <c r="O118" t="s">
        <v>1819</v>
      </c>
      <c r="P118">
        <v>0</v>
      </c>
      <c r="Q118">
        <v>0</v>
      </c>
      <c r="R118">
        <v>0</v>
      </c>
      <c r="S118">
        <v>0</v>
      </c>
    </row>
    <row r="119" spans="13:19" x14ac:dyDescent="0.3">
      <c r="M119" t="s">
        <v>367</v>
      </c>
      <c r="N119" t="str">
        <f>"641310"</f>
        <v>641310</v>
      </c>
      <c r="O119" t="s">
        <v>1820</v>
      </c>
      <c r="P119">
        <v>0</v>
      </c>
      <c r="Q119">
        <v>0</v>
      </c>
      <c r="R119">
        <v>0</v>
      </c>
      <c r="S119">
        <v>0</v>
      </c>
    </row>
    <row r="120" spans="13:19" x14ac:dyDescent="0.3">
      <c r="M120" t="s">
        <v>367</v>
      </c>
      <c r="N120" t="str">
        <f>"646210"</f>
        <v>646210</v>
      </c>
      <c r="O120" t="s">
        <v>1811</v>
      </c>
      <c r="P120">
        <v>0</v>
      </c>
      <c r="Q120">
        <v>0</v>
      </c>
      <c r="R120">
        <v>0</v>
      </c>
      <c r="S120">
        <v>0</v>
      </c>
    </row>
    <row r="121" spans="13:19" x14ac:dyDescent="0.3">
      <c r="M121" t="s">
        <v>367</v>
      </c>
      <c r="N121" t="str">
        <f>"646220"</f>
        <v>646220</v>
      </c>
      <c r="O121" t="s">
        <v>1821</v>
      </c>
      <c r="P121">
        <v>0</v>
      </c>
      <c r="Q121">
        <v>0</v>
      </c>
      <c r="R121">
        <v>0</v>
      </c>
      <c r="S121">
        <v>0</v>
      </c>
    </row>
    <row r="122" spans="13:19" x14ac:dyDescent="0.3">
      <c r="M122" t="s">
        <v>367</v>
      </c>
      <c r="N122" t="str">
        <f>"64640"</f>
        <v>64640</v>
      </c>
      <c r="O122" t="s">
        <v>1822</v>
      </c>
      <c r="P122">
        <v>0</v>
      </c>
      <c r="Q122">
        <v>0</v>
      </c>
      <c r="R122">
        <v>0</v>
      </c>
      <c r="S122">
        <v>0</v>
      </c>
    </row>
    <row r="123" spans="13:19" x14ac:dyDescent="0.3">
      <c r="M123" t="s">
        <v>367</v>
      </c>
      <c r="N123" t="str">
        <f>"646800"</f>
        <v>646800</v>
      </c>
      <c r="O123" t="s">
        <v>492</v>
      </c>
      <c r="P123">
        <v>0</v>
      </c>
      <c r="Q123">
        <v>0</v>
      </c>
      <c r="R123">
        <v>0</v>
      </c>
      <c r="S123">
        <v>0</v>
      </c>
    </row>
    <row r="124" spans="13:19" x14ac:dyDescent="0.3">
      <c r="M124" t="s">
        <v>367</v>
      </c>
      <c r="N124" t="str">
        <f>"647000"</f>
        <v>647000</v>
      </c>
      <c r="O124" t="s">
        <v>1823</v>
      </c>
      <c r="P124">
        <v>0</v>
      </c>
      <c r="Q124">
        <v>0</v>
      </c>
      <c r="R124">
        <v>0</v>
      </c>
      <c r="S124">
        <v>0</v>
      </c>
    </row>
    <row r="125" spans="13:19" x14ac:dyDescent="0.3">
      <c r="M125" t="s">
        <v>367</v>
      </c>
      <c r="N125" t="str">
        <f>"656000"</f>
        <v>656000</v>
      </c>
      <c r="O125" t="s">
        <v>496</v>
      </c>
      <c r="P125">
        <v>0</v>
      </c>
      <c r="Q125">
        <v>0</v>
      </c>
      <c r="R125">
        <v>0</v>
      </c>
      <c r="S125">
        <v>0</v>
      </c>
    </row>
    <row r="126" spans="13:19" x14ac:dyDescent="0.3">
      <c r="M126" t="s">
        <v>367</v>
      </c>
      <c r="N126" t="str">
        <f>"656100"</f>
        <v>656100</v>
      </c>
      <c r="O126" t="s">
        <v>1267</v>
      </c>
      <c r="P126">
        <v>0</v>
      </c>
      <c r="Q126">
        <v>0</v>
      </c>
      <c r="R126">
        <v>0</v>
      </c>
      <c r="S126">
        <v>0</v>
      </c>
    </row>
    <row r="127" spans="13:19" x14ac:dyDescent="0.3">
      <c r="M127" t="s">
        <v>367</v>
      </c>
      <c r="N127" t="str">
        <f>"658100"</f>
        <v>658100</v>
      </c>
      <c r="O127" t="s">
        <v>499</v>
      </c>
      <c r="P127">
        <v>0</v>
      </c>
      <c r="Q127">
        <v>0</v>
      </c>
      <c r="R127">
        <v>0</v>
      </c>
      <c r="S127">
        <v>0</v>
      </c>
    </row>
    <row r="128" spans="13:19" x14ac:dyDescent="0.3">
      <c r="M128" t="s">
        <v>367</v>
      </c>
      <c r="N128" t="str">
        <f>"658200"</f>
        <v>658200</v>
      </c>
      <c r="O128" t="s">
        <v>500</v>
      </c>
      <c r="P128">
        <v>0</v>
      </c>
      <c r="Q128">
        <v>0</v>
      </c>
      <c r="R128">
        <v>0</v>
      </c>
      <c r="S128">
        <v>0</v>
      </c>
    </row>
    <row r="129" spans="13:19" x14ac:dyDescent="0.3">
      <c r="M129" t="s">
        <v>367</v>
      </c>
      <c r="N129" t="str">
        <f>"658800"</f>
        <v>658800</v>
      </c>
      <c r="O129" t="s">
        <v>501</v>
      </c>
      <c r="P129">
        <v>0</v>
      </c>
      <c r="Q129">
        <v>0</v>
      </c>
      <c r="R129">
        <v>0</v>
      </c>
      <c r="S129">
        <v>0</v>
      </c>
    </row>
    <row r="130" spans="13:19" x14ac:dyDescent="0.3">
      <c r="M130" t="s">
        <v>367</v>
      </c>
      <c r="N130" t="str">
        <f>"661000"</f>
        <v>661000</v>
      </c>
      <c r="O130" t="s">
        <v>1824</v>
      </c>
      <c r="P130">
        <v>0</v>
      </c>
      <c r="Q130">
        <v>0</v>
      </c>
      <c r="R130">
        <v>0</v>
      </c>
      <c r="S130">
        <v>0</v>
      </c>
    </row>
    <row r="131" spans="13:19" x14ac:dyDescent="0.3">
      <c r="M131" t="s">
        <v>367</v>
      </c>
      <c r="N131" t="str">
        <f>"661100"</f>
        <v>661100</v>
      </c>
      <c r="O131" t="s">
        <v>1825</v>
      </c>
      <c r="P131">
        <v>0</v>
      </c>
      <c r="Q131">
        <v>0</v>
      </c>
      <c r="R131">
        <v>0</v>
      </c>
      <c r="S131">
        <v>0</v>
      </c>
    </row>
    <row r="132" spans="13:19" x14ac:dyDescent="0.3">
      <c r="M132" t="s">
        <v>367</v>
      </c>
      <c r="N132" t="str">
        <f>"661200"</f>
        <v>661200</v>
      </c>
      <c r="O132" t="s">
        <v>504</v>
      </c>
      <c r="P132">
        <v>0</v>
      </c>
      <c r="Q132">
        <v>0</v>
      </c>
      <c r="R132">
        <v>0</v>
      </c>
      <c r="S132">
        <v>0</v>
      </c>
    </row>
    <row r="133" spans="13:19" x14ac:dyDescent="0.3">
      <c r="M133" t="s">
        <v>367</v>
      </c>
      <c r="N133" t="str">
        <f>"661210"</f>
        <v>661210</v>
      </c>
      <c r="O133" t="s">
        <v>505</v>
      </c>
      <c r="P133">
        <v>0</v>
      </c>
      <c r="Q133">
        <v>0</v>
      </c>
      <c r="R133">
        <v>0</v>
      </c>
      <c r="S133">
        <v>0</v>
      </c>
    </row>
    <row r="134" spans="13:19" x14ac:dyDescent="0.3">
      <c r="M134" t="s">
        <v>367</v>
      </c>
      <c r="N134" t="str">
        <f>"661300"</f>
        <v>661300</v>
      </c>
      <c r="O134" t="s">
        <v>506</v>
      </c>
      <c r="P134">
        <v>0</v>
      </c>
      <c r="Q134">
        <v>0</v>
      </c>
      <c r="R134">
        <v>0</v>
      </c>
      <c r="S134">
        <v>0</v>
      </c>
    </row>
    <row r="135" spans="13:19" x14ac:dyDescent="0.3">
      <c r="M135" t="s">
        <v>367</v>
      </c>
      <c r="N135" t="str">
        <f>"661310"</f>
        <v>661310</v>
      </c>
      <c r="O135" t="s">
        <v>507</v>
      </c>
      <c r="P135">
        <v>0</v>
      </c>
      <c r="Q135">
        <v>0</v>
      </c>
      <c r="R135">
        <v>0</v>
      </c>
      <c r="S135">
        <v>0</v>
      </c>
    </row>
    <row r="136" spans="13:19" x14ac:dyDescent="0.3">
      <c r="M136" t="s">
        <v>367</v>
      </c>
      <c r="N136" t="str">
        <f>"661400"</f>
        <v>661400</v>
      </c>
      <c r="O136" t="s">
        <v>508</v>
      </c>
      <c r="P136">
        <v>0</v>
      </c>
      <c r="Q136">
        <v>0</v>
      </c>
      <c r="R136">
        <v>0</v>
      </c>
      <c r="S136">
        <v>0</v>
      </c>
    </row>
    <row r="137" spans="13:19" x14ac:dyDescent="0.3">
      <c r="M137" t="s">
        <v>367</v>
      </c>
      <c r="N137" t="str">
        <f>"661410"</f>
        <v>661410</v>
      </c>
      <c r="O137" t="s">
        <v>1826</v>
      </c>
      <c r="P137">
        <v>0</v>
      </c>
      <c r="Q137">
        <v>0</v>
      </c>
      <c r="R137">
        <v>0</v>
      </c>
      <c r="S137">
        <v>0</v>
      </c>
    </row>
    <row r="138" spans="13:19" x14ac:dyDescent="0.3">
      <c r="M138" t="s">
        <v>367</v>
      </c>
      <c r="N138" t="str">
        <f>"661710"</f>
        <v>661710</v>
      </c>
      <c r="O138" t="s">
        <v>1827</v>
      </c>
      <c r="P138">
        <v>0</v>
      </c>
      <c r="Q138">
        <v>0</v>
      </c>
      <c r="R138">
        <v>0</v>
      </c>
      <c r="S138">
        <v>0</v>
      </c>
    </row>
    <row r="139" spans="13:19" x14ac:dyDescent="0.3">
      <c r="M139" t="s">
        <v>367</v>
      </c>
      <c r="N139" t="str">
        <f>"661711"</f>
        <v>661711</v>
      </c>
      <c r="O139" t="s">
        <v>1828</v>
      </c>
      <c r="P139">
        <v>0</v>
      </c>
      <c r="Q139">
        <v>0</v>
      </c>
      <c r="R139">
        <v>0</v>
      </c>
      <c r="S139">
        <v>0</v>
      </c>
    </row>
    <row r="140" spans="13:19" x14ac:dyDescent="0.3">
      <c r="M140" t="s">
        <v>367</v>
      </c>
      <c r="N140" t="str">
        <f>"661720"</f>
        <v>661720</v>
      </c>
      <c r="O140" t="s">
        <v>1829</v>
      </c>
      <c r="P140">
        <v>0</v>
      </c>
      <c r="Q140">
        <v>0</v>
      </c>
      <c r="R140">
        <v>0</v>
      </c>
      <c r="S140">
        <v>0</v>
      </c>
    </row>
    <row r="141" spans="13:19" x14ac:dyDescent="0.3">
      <c r="M141" t="s">
        <v>367</v>
      </c>
      <c r="N141" t="str">
        <f>"661721"</f>
        <v>661721</v>
      </c>
      <c r="O141" t="s">
        <v>1830</v>
      </c>
      <c r="P141">
        <v>0</v>
      </c>
      <c r="Q141">
        <v>0</v>
      </c>
      <c r="R141">
        <v>0</v>
      </c>
      <c r="S141">
        <v>0</v>
      </c>
    </row>
    <row r="142" spans="13:19" x14ac:dyDescent="0.3">
      <c r="M142" t="s">
        <v>367</v>
      </c>
      <c r="N142" t="str">
        <f>"663000"</f>
        <v>663000</v>
      </c>
      <c r="O142" t="s">
        <v>1831</v>
      </c>
      <c r="P142">
        <v>0</v>
      </c>
      <c r="Q142">
        <v>0</v>
      </c>
      <c r="R142">
        <v>0</v>
      </c>
      <c r="S142">
        <v>0</v>
      </c>
    </row>
    <row r="143" spans="13:19" x14ac:dyDescent="0.3">
      <c r="M143" t="s">
        <v>367</v>
      </c>
      <c r="N143" t="str">
        <f>"663100"</f>
        <v>663100</v>
      </c>
      <c r="O143" t="s">
        <v>510</v>
      </c>
      <c r="P143">
        <v>0</v>
      </c>
      <c r="Q143">
        <v>0</v>
      </c>
      <c r="R143">
        <v>0</v>
      </c>
      <c r="S143">
        <v>0</v>
      </c>
    </row>
    <row r="144" spans="13:19" x14ac:dyDescent="0.3">
      <c r="M144" t="s">
        <v>367</v>
      </c>
      <c r="N144" t="str">
        <f>"663200"</f>
        <v>663200</v>
      </c>
      <c r="O144" t="s">
        <v>1832</v>
      </c>
      <c r="P144">
        <v>0</v>
      </c>
      <c r="Q144">
        <v>0</v>
      </c>
      <c r="R144">
        <v>0</v>
      </c>
      <c r="S144">
        <v>0</v>
      </c>
    </row>
    <row r="145" spans="13:19" x14ac:dyDescent="0.3">
      <c r="M145" t="s">
        <v>367</v>
      </c>
      <c r="N145" t="str">
        <f>"663300"</f>
        <v>663300</v>
      </c>
      <c r="O145" t="s">
        <v>513</v>
      </c>
      <c r="P145">
        <v>0</v>
      </c>
      <c r="Q145">
        <v>0</v>
      </c>
      <c r="R145">
        <v>0</v>
      </c>
      <c r="S145">
        <v>0</v>
      </c>
    </row>
    <row r="146" spans="13:19" x14ac:dyDescent="0.3">
      <c r="M146" t="s">
        <v>367</v>
      </c>
      <c r="N146" t="str">
        <f>"663400"</f>
        <v>663400</v>
      </c>
      <c r="O146" t="s">
        <v>514</v>
      </c>
      <c r="P146">
        <v>0</v>
      </c>
      <c r="Q146">
        <v>0</v>
      </c>
      <c r="R146">
        <v>0</v>
      </c>
      <c r="S146">
        <v>0</v>
      </c>
    </row>
    <row r="147" spans="13:19" x14ac:dyDescent="0.3">
      <c r="M147" t="s">
        <v>367</v>
      </c>
      <c r="N147" t="str">
        <f>"663410"</f>
        <v>663410</v>
      </c>
      <c r="O147" t="s">
        <v>1833</v>
      </c>
      <c r="P147">
        <v>0</v>
      </c>
      <c r="Q147">
        <v>0</v>
      </c>
      <c r="R147">
        <v>0</v>
      </c>
      <c r="S147">
        <v>0</v>
      </c>
    </row>
    <row r="148" spans="13:19" x14ac:dyDescent="0.3">
      <c r="M148" t="s">
        <v>367</v>
      </c>
      <c r="N148" t="str">
        <f>"663800"</f>
        <v>663800</v>
      </c>
      <c r="O148" t="s">
        <v>517</v>
      </c>
      <c r="P148">
        <v>0</v>
      </c>
      <c r="Q148">
        <v>0</v>
      </c>
      <c r="R148">
        <v>0</v>
      </c>
      <c r="S148">
        <v>0</v>
      </c>
    </row>
    <row r="149" spans="13:19" x14ac:dyDescent="0.3">
      <c r="M149" t="s">
        <v>367</v>
      </c>
      <c r="N149" t="str">
        <f>"664100"</f>
        <v>664100</v>
      </c>
      <c r="O149" t="s">
        <v>1834</v>
      </c>
      <c r="P149">
        <v>0</v>
      </c>
      <c r="Q149">
        <v>0</v>
      </c>
      <c r="R149">
        <v>0</v>
      </c>
      <c r="S149">
        <v>0</v>
      </c>
    </row>
    <row r="150" spans="13:19" x14ac:dyDescent="0.3">
      <c r="M150" t="s">
        <v>367</v>
      </c>
      <c r="N150" t="str">
        <f>"664110"</f>
        <v>664110</v>
      </c>
      <c r="O150" t="s">
        <v>1835</v>
      </c>
      <c r="P150">
        <v>0</v>
      </c>
      <c r="Q150">
        <v>0</v>
      </c>
      <c r="R150">
        <v>0</v>
      </c>
      <c r="S150">
        <v>0</v>
      </c>
    </row>
    <row r="151" spans="13:19" x14ac:dyDescent="0.3">
      <c r="M151" t="s">
        <v>367</v>
      </c>
      <c r="N151" t="str">
        <f>"668100"</f>
        <v>668100</v>
      </c>
      <c r="O151" t="s">
        <v>1836</v>
      </c>
      <c r="P151">
        <v>0</v>
      </c>
      <c r="Q151">
        <v>0</v>
      </c>
      <c r="R151">
        <v>0</v>
      </c>
      <c r="S151">
        <v>0</v>
      </c>
    </row>
    <row r="152" spans="13:19" x14ac:dyDescent="0.3">
      <c r="M152" t="s">
        <v>367</v>
      </c>
      <c r="N152" t="str">
        <f>"668200"</f>
        <v>668200</v>
      </c>
      <c r="O152" t="s">
        <v>1837</v>
      </c>
      <c r="P152">
        <v>0</v>
      </c>
      <c r="Q152">
        <v>0</v>
      </c>
      <c r="R152">
        <v>0</v>
      </c>
      <c r="S152">
        <v>0</v>
      </c>
    </row>
    <row r="153" spans="13:19" x14ac:dyDescent="0.3">
      <c r="M153" t="s">
        <v>367</v>
      </c>
      <c r="N153" t="str">
        <f>"6683000"</f>
        <v>6683000</v>
      </c>
      <c r="O153" t="s">
        <v>1838</v>
      </c>
      <c r="P153">
        <v>0</v>
      </c>
      <c r="Q153">
        <v>0</v>
      </c>
      <c r="R153">
        <v>0</v>
      </c>
      <c r="S153">
        <v>0</v>
      </c>
    </row>
    <row r="154" spans="13:19" x14ac:dyDescent="0.3">
      <c r="M154" t="s">
        <v>367</v>
      </c>
      <c r="N154" t="str">
        <f>"668310"</f>
        <v>668310</v>
      </c>
      <c r="O154" t="s">
        <v>1839</v>
      </c>
      <c r="P154">
        <v>0</v>
      </c>
      <c r="Q154">
        <v>0</v>
      </c>
      <c r="R154">
        <v>0</v>
      </c>
      <c r="S154">
        <v>0</v>
      </c>
    </row>
    <row r="155" spans="13:19" x14ac:dyDescent="0.3">
      <c r="M155" t="s">
        <v>367</v>
      </c>
      <c r="N155" t="str">
        <f>"674100"</f>
        <v>674100</v>
      </c>
      <c r="O155" t="s">
        <v>1840</v>
      </c>
      <c r="P155">
        <v>0</v>
      </c>
      <c r="Q155">
        <v>0</v>
      </c>
      <c r="R155">
        <v>0</v>
      </c>
      <c r="S155">
        <v>0</v>
      </c>
    </row>
    <row r="156" spans="13:19" x14ac:dyDescent="0.3">
      <c r="M156" t="s">
        <v>367</v>
      </c>
      <c r="N156" t="str">
        <f>"681300"</f>
        <v>681300</v>
      </c>
      <c r="O156" t="s">
        <v>526</v>
      </c>
      <c r="P156">
        <v>0</v>
      </c>
      <c r="Q156">
        <v>0</v>
      </c>
      <c r="R156">
        <v>0</v>
      </c>
      <c r="S156">
        <v>0</v>
      </c>
    </row>
    <row r="157" spans="13:19" x14ac:dyDescent="0.3">
      <c r="M157" t="s">
        <v>367</v>
      </c>
      <c r="N157" t="str">
        <f>"706000"</f>
        <v>706000</v>
      </c>
      <c r="O157" t="s">
        <v>1841</v>
      </c>
      <c r="P157">
        <v>0</v>
      </c>
      <c r="Q157">
        <v>0</v>
      </c>
      <c r="R157">
        <v>0</v>
      </c>
      <c r="S157">
        <v>0</v>
      </c>
    </row>
    <row r="158" spans="13:19" x14ac:dyDescent="0.3">
      <c r="M158" t="s">
        <v>367</v>
      </c>
      <c r="N158" t="str">
        <f>"706010"</f>
        <v>706010</v>
      </c>
      <c r="O158" t="s">
        <v>1842</v>
      </c>
      <c r="P158">
        <v>0</v>
      </c>
      <c r="Q158">
        <v>0</v>
      </c>
      <c r="R158">
        <v>0</v>
      </c>
      <c r="S158">
        <v>0</v>
      </c>
    </row>
    <row r="159" spans="13:19" x14ac:dyDescent="0.3">
      <c r="M159" t="s">
        <v>367</v>
      </c>
      <c r="N159" t="str">
        <f>"706020"</f>
        <v>706020</v>
      </c>
      <c r="O159" t="s">
        <v>1843</v>
      </c>
      <c r="P159">
        <v>0</v>
      </c>
      <c r="Q159">
        <v>0</v>
      </c>
      <c r="R159">
        <v>0</v>
      </c>
      <c r="S159">
        <v>0</v>
      </c>
    </row>
    <row r="160" spans="13:19" x14ac:dyDescent="0.3">
      <c r="M160" t="s">
        <v>367</v>
      </c>
      <c r="N160" t="str">
        <f>"706030"</f>
        <v>706030</v>
      </c>
      <c r="O160" t="s">
        <v>1844</v>
      </c>
      <c r="P160">
        <v>0</v>
      </c>
      <c r="Q160">
        <v>0</v>
      </c>
      <c r="R160">
        <v>0</v>
      </c>
      <c r="S160">
        <v>0</v>
      </c>
    </row>
    <row r="161" spans="13:19" x14ac:dyDescent="0.3">
      <c r="M161" t="s">
        <v>367</v>
      </c>
      <c r="N161" t="str">
        <f>"706040"</f>
        <v>706040</v>
      </c>
      <c r="O161" t="s">
        <v>1845</v>
      </c>
      <c r="P161">
        <v>0</v>
      </c>
      <c r="Q161">
        <v>0</v>
      </c>
      <c r="R161">
        <v>0</v>
      </c>
      <c r="S161">
        <v>0</v>
      </c>
    </row>
    <row r="162" spans="13:19" x14ac:dyDescent="0.3">
      <c r="M162" t="s">
        <v>367</v>
      </c>
      <c r="N162" t="str">
        <f>"706060"</f>
        <v>706060</v>
      </c>
      <c r="O162" t="s">
        <v>1846</v>
      </c>
      <c r="P162">
        <v>0</v>
      </c>
      <c r="Q162">
        <v>0</v>
      </c>
      <c r="R162">
        <v>0</v>
      </c>
      <c r="S162">
        <v>0</v>
      </c>
    </row>
    <row r="163" spans="13:19" x14ac:dyDescent="0.3">
      <c r="M163" t="s">
        <v>367</v>
      </c>
      <c r="N163" t="str">
        <f>"706070"</f>
        <v>706070</v>
      </c>
      <c r="O163" t="s">
        <v>1847</v>
      </c>
      <c r="P163">
        <v>0</v>
      </c>
      <c r="Q163">
        <v>0</v>
      </c>
      <c r="R163">
        <v>0</v>
      </c>
      <c r="S163">
        <v>0</v>
      </c>
    </row>
    <row r="164" spans="13:19" x14ac:dyDescent="0.3">
      <c r="M164" t="s">
        <v>367</v>
      </c>
      <c r="N164" t="str">
        <f>"706080"</f>
        <v>706080</v>
      </c>
      <c r="O164" t="s">
        <v>1848</v>
      </c>
      <c r="P164">
        <v>0</v>
      </c>
      <c r="Q164">
        <v>0</v>
      </c>
      <c r="R164">
        <v>0</v>
      </c>
      <c r="S164">
        <v>0</v>
      </c>
    </row>
    <row r="165" spans="13:19" x14ac:dyDescent="0.3">
      <c r="M165" t="s">
        <v>367</v>
      </c>
      <c r="N165" t="str">
        <f>"706100"</f>
        <v>706100</v>
      </c>
      <c r="O165" t="s">
        <v>529</v>
      </c>
      <c r="P165">
        <v>0</v>
      </c>
      <c r="Q165">
        <v>0</v>
      </c>
      <c r="R165">
        <v>0</v>
      </c>
      <c r="S165">
        <v>0</v>
      </c>
    </row>
    <row r="166" spans="13:19" x14ac:dyDescent="0.3">
      <c r="M166" t="s">
        <v>367</v>
      </c>
      <c r="N166" t="str">
        <f>"707000"</f>
        <v>707000</v>
      </c>
      <c r="O166" t="s">
        <v>544</v>
      </c>
      <c r="P166">
        <v>0</v>
      </c>
      <c r="Q166">
        <v>0</v>
      </c>
      <c r="R166">
        <v>0</v>
      </c>
      <c r="S166">
        <v>0</v>
      </c>
    </row>
    <row r="167" spans="13:19" x14ac:dyDescent="0.3">
      <c r="M167" t="s">
        <v>428</v>
      </c>
      <c r="N167" t="str">
        <f>"70"</f>
        <v>70</v>
      </c>
      <c r="O167" t="s">
        <v>1327</v>
      </c>
      <c r="P167">
        <v>0</v>
      </c>
      <c r="Q167">
        <v>0</v>
      </c>
      <c r="R167">
        <v>0</v>
      </c>
      <c r="S167">
        <v>0</v>
      </c>
    </row>
    <row r="168" spans="13:19" x14ac:dyDescent="0.3">
      <c r="M168" t="s">
        <v>367</v>
      </c>
      <c r="N168" t="str">
        <f>"756000"</f>
        <v>756000</v>
      </c>
      <c r="O168" t="s">
        <v>546</v>
      </c>
      <c r="P168">
        <v>0</v>
      </c>
      <c r="Q168">
        <v>0</v>
      </c>
      <c r="R168">
        <v>0</v>
      </c>
      <c r="S168">
        <v>0</v>
      </c>
    </row>
    <row r="169" spans="13:19" x14ac:dyDescent="0.3">
      <c r="M169" t="s">
        <v>367</v>
      </c>
      <c r="N169" t="str">
        <f>"778000"</f>
        <v>778000</v>
      </c>
      <c r="O169" t="s">
        <v>1849</v>
      </c>
      <c r="P169">
        <v>0</v>
      </c>
      <c r="Q169">
        <v>0</v>
      </c>
      <c r="R169">
        <v>0</v>
      </c>
      <c r="S169">
        <v>0</v>
      </c>
    </row>
    <row r="170" spans="13:19" x14ac:dyDescent="0.3">
      <c r="M170" t="s">
        <v>367</v>
      </c>
      <c r="N170" t="str">
        <f>"781000"</f>
        <v>781000</v>
      </c>
      <c r="O170" t="s">
        <v>548</v>
      </c>
      <c r="P170">
        <v>0</v>
      </c>
      <c r="Q170">
        <v>0</v>
      </c>
      <c r="R170">
        <v>0</v>
      </c>
      <c r="S170">
        <v>0</v>
      </c>
    </row>
    <row r="171" spans="13:19" x14ac:dyDescent="0.3">
      <c r="M171" t="s">
        <v>367</v>
      </c>
      <c r="N171" t="str">
        <f>"781100"</f>
        <v>781100</v>
      </c>
      <c r="O171" t="s">
        <v>549</v>
      </c>
      <c r="P171">
        <v>0</v>
      </c>
      <c r="Q171">
        <v>0</v>
      </c>
      <c r="R171">
        <v>0</v>
      </c>
      <c r="S171">
        <v>0</v>
      </c>
    </row>
    <row r="172" spans="13:19" x14ac:dyDescent="0.3">
      <c r="M172" t="s">
        <v>367</v>
      </c>
      <c r="N172" t="str">
        <f>"781200"</f>
        <v>781200</v>
      </c>
      <c r="O172" t="s">
        <v>1850</v>
      </c>
      <c r="P172">
        <v>0</v>
      </c>
      <c r="Q172">
        <v>0</v>
      </c>
      <c r="R172">
        <v>0</v>
      </c>
      <c r="S172">
        <v>0</v>
      </c>
    </row>
    <row r="173" spans="13:19" x14ac:dyDescent="0.3">
      <c r="M173" t="s">
        <v>367</v>
      </c>
      <c r="N173" t="str">
        <f>"781210"</f>
        <v>781210</v>
      </c>
      <c r="O173" t="s">
        <v>1851</v>
      </c>
      <c r="P173">
        <v>0</v>
      </c>
      <c r="Q173">
        <v>0</v>
      </c>
      <c r="R173">
        <v>0</v>
      </c>
      <c r="S173">
        <v>0</v>
      </c>
    </row>
    <row r="174" spans="13:19" x14ac:dyDescent="0.3">
      <c r="M174" t="s">
        <v>367</v>
      </c>
      <c r="N174" t="str">
        <f>"781300"</f>
        <v>781300</v>
      </c>
      <c r="O174" t="s">
        <v>1852</v>
      </c>
      <c r="P174">
        <v>0</v>
      </c>
      <c r="Q174">
        <v>0</v>
      </c>
      <c r="R174">
        <v>0</v>
      </c>
      <c r="S174">
        <v>0</v>
      </c>
    </row>
    <row r="175" spans="13:19" x14ac:dyDescent="0.3">
      <c r="M175" t="s">
        <v>367</v>
      </c>
      <c r="N175" t="str">
        <f>"781400"</f>
        <v>781400</v>
      </c>
      <c r="O175" t="s">
        <v>1853</v>
      </c>
      <c r="P175">
        <v>0</v>
      </c>
      <c r="Q175">
        <v>0</v>
      </c>
      <c r="R175">
        <v>0</v>
      </c>
      <c r="S175">
        <v>0</v>
      </c>
    </row>
    <row r="176" spans="13:19" x14ac:dyDescent="0.3">
      <c r="M176" t="s">
        <v>367</v>
      </c>
      <c r="N176" t="str">
        <f>"781500"</f>
        <v>781500</v>
      </c>
      <c r="O176" t="s">
        <v>1478</v>
      </c>
      <c r="P176">
        <v>0</v>
      </c>
      <c r="Q176">
        <v>0</v>
      </c>
      <c r="R176">
        <v>0</v>
      </c>
      <c r="S176">
        <v>0</v>
      </c>
    </row>
    <row r="177" spans="13:19" x14ac:dyDescent="0.3">
      <c r="M177" t="s">
        <v>367</v>
      </c>
      <c r="N177" t="str">
        <f>"891000"</f>
        <v>891000</v>
      </c>
      <c r="O177" t="s">
        <v>399</v>
      </c>
      <c r="P177">
        <v>0</v>
      </c>
      <c r="Q177">
        <v>0</v>
      </c>
      <c r="R177">
        <v>0</v>
      </c>
      <c r="S17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F957-F664-4317-90C4-F462BC405DB2}">
  <dimension ref="A1:F15"/>
  <sheetViews>
    <sheetView workbookViewId="0">
      <selection activeCell="A7" sqref="A7:F15"/>
    </sheetView>
  </sheetViews>
  <sheetFormatPr defaultRowHeight="15.6" x14ac:dyDescent="0.3"/>
  <cols>
    <col min="3" max="3" width="14.81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tr">
        <f>"401111"</f>
        <v>401111</v>
      </c>
      <c r="C2" t="s">
        <v>1854</v>
      </c>
      <c r="D2">
        <v>0</v>
      </c>
      <c r="E2">
        <v>0</v>
      </c>
      <c r="F2">
        <v>0</v>
      </c>
    </row>
    <row r="3" spans="1:6" x14ac:dyDescent="0.3">
      <c r="A3" t="s">
        <v>6</v>
      </c>
      <c r="B3" t="str">
        <f>"401112"</f>
        <v>401112</v>
      </c>
      <c r="C3" t="s">
        <v>1855</v>
      </c>
      <c r="D3">
        <v>0</v>
      </c>
      <c r="E3">
        <v>0</v>
      </c>
      <c r="F3">
        <v>0</v>
      </c>
    </row>
    <row r="4" spans="1:6" x14ac:dyDescent="0.3">
      <c r="A4" t="s">
        <v>6</v>
      </c>
      <c r="B4" t="str">
        <f>"401113"</f>
        <v>401113</v>
      </c>
      <c r="C4" t="s">
        <v>1856</v>
      </c>
      <c r="D4">
        <v>0</v>
      </c>
      <c r="E4">
        <v>0</v>
      </c>
      <c r="F4">
        <v>0</v>
      </c>
    </row>
    <row r="5" spans="1:6" x14ac:dyDescent="0.3">
      <c r="A5" t="s">
        <v>6</v>
      </c>
      <c r="B5" t="str">
        <f>"401114"</f>
        <v>401114</v>
      </c>
      <c r="C5" t="s">
        <v>1857</v>
      </c>
      <c r="D5">
        <v>0</v>
      </c>
      <c r="E5">
        <v>0</v>
      </c>
      <c r="F5">
        <v>0</v>
      </c>
    </row>
    <row r="7" spans="1:6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6" x14ac:dyDescent="0.3">
      <c r="A8" t="s">
        <v>318</v>
      </c>
      <c r="B8" t="s">
        <v>1858</v>
      </c>
      <c r="C8" t="s">
        <v>1859</v>
      </c>
      <c r="D8">
        <v>0</v>
      </c>
      <c r="E8">
        <v>0</v>
      </c>
      <c r="F8">
        <v>0</v>
      </c>
    </row>
    <row r="9" spans="1:6" x14ac:dyDescent="0.3">
      <c r="A9" t="s">
        <v>318</v>
      </c>
      <c r="B9" t="s">
        <v>1860</v>
      </c>
      <c r="C9" t="s">
        <v>594</v>
      </c>
      <c r="D9">
        <v>0</v>
      </c>
      <c r="E9">
        <v>0</v>
      </c>
      <c r="F9">
        <v>0</v>
      </c>
    </row>
    <row r="10" spans="1:6" x14ac:dyDescent="0.3">
      <c r="A10" t="s">
        <v>318</v>
      </c>
      <c r="B10" t="s">
        <v>1861</v>
      </c>
      <c r="C10" t="s">
        <v>1862</v>
      </c>
      <c r="D10">
        <v>0</v>
      </c>
      <c r="E10">
        <v>0</v>
      </c>
      <c r="F10">
        <v>0</v>
      </c>
    </row>
    <row r="11" spans="1:6" x14ac:dyDescent="0.3">
      <c r="A11" t="s">
        <v>318</v>
      </c>
      <c r="B11" t="s">
        <v>1863</v>
      </c>
      <c r="C11" t="s">
        <v>1864</v>
      </c>
      <c r="D11">
        <v>0</v>
      </c>
      <c r="E11">
        <v>0</v>
      </c>
      <c r="F11">
        <v>0</v>
      </c>
    </row>
    <row r="12" spans="1:6" x14ac:dyDescent="0.3">
      <c r="A12" t="s">
        <v>318</v>
      </c>
      <c r="B12" t="s">
        <v>1865</v>
      </c>
      <c r="C12" t="s">
        <v>1866</v>
      </c>
      <c r="D12">
        <v>0</v>
      </c>
      <c r="E12">
        <v>0</v>
      </c>
      <c r="F12">
        <v>0</v>
      </c>
    </row>
    <row r="13" spans="1:6" x14ac:dyDescent="0.3">
      <c r="A13" t="s">
        <v>318</v>
      </c>
      <c r="B13" t="s">
        <v>1867</v>
      </c>
      <c r="C13" t="s">
        <v>1868</v>
      </c>
      <c r="D13">
        <v>0</v>
      </c>
      <c r="E13">
        <v>0</v>
      </c>
      <c r="F13">
        <v>0</v>
      </c>
    </row>
    <row r="14" spans="1:6" x14ac:dyDescent="0.3">
      <c r="A14" t="s">
        <v>318</v>
      </c>
      <c r="B14" t="s">
        <v>1869</v>
      </c>
      <c r="C14" t="s">
        <v>1870</v>
      </c>
      <c r="D14">
        <v>0</v>
      </c>
      <c r="E14">
        <v>0</v>
      </c>
      <c r="F14">
        <v>0</v>
      </c>
    </row>
    <row r="15" spans="1:6" x14ac:dyDescent="0.3">
      <c r="A15" t="s">
        <v>318</v>
      </c>
      <c r="B15" t="s">
        <v>1871</v>
      </c>
      <c r="C15" t="s">
        <v>1051</v>
      </c>
      <c r="D15">
        <v>0</v>
      </c>
      <c r="E15">
        <v>0</v>
      </c>
      <c r="F1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6BDC-721E-4B84-91BE-0910FDFCDFB7}">
  <dimension ref="A1:C4"/>
  <sheetViews>
    <sheetView workbookViewId="0">
      <selection activeCell="D11" sqref="D11"/>
    </sheetView>
  </sheetViews>
  <sheetFormatPr defaultRowHeight="15.6" x14ac:dyDescent="0.3"/>
  <sheetData>
    <row r="1" spans="1:3" x14ac:dyDescent="0.3">
      <c r="A1" t="s">
        <v>0</v>
      </c>
      <c r="B1" t="s">
        <v>337</v>
      </c>
      <c r="C1" t="s">
        <v>338</v>
      </c>
    </row>
    <row r="2" spans="1:3" x14ac:dyDescent="0.3">
      <c r="A2" t="s">
        <v>342</v>
      </c>
      <c r="B2" t="s">
        <v>359</v>
      </c>
      <c r="C2" t="s">
        <v>1872</v>
      </c>
    </row>
    <row r="3" spans="1:3" x14ac:dyDescent="0.3">
      <c r="A3" t="s">
        <v>339</v>
      </c>
      <c r="B3" t="s">
        <v>361</v>
      </c>
      <c r="C3" t="s">
        <v>362</v>
      </c>
    </row>
    <row r="4" spans="1:3" x14ac:dyDescent="0.3">
      <c r="A4" t="s">
        <v>345</v>
      </c>
      <c r="B4" t="s">
        <v>363</v>
      </c>
      <c r="C4" t="s">
        <v>1873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69562-0001-4442-8DC3-54F980C87BC5}">
  <dimension ref="A1:G207"/>
  <sheetViews>
    <sheetView workbookViewId="0">
      <selection sqref="A1:G207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365</v>
      </c>
      <c r="E1" t="s">
        <v>366</v>
      </c>
      <c r="F1" t="s">
        <v>3</v>
      </c>
      <c r="G1" t="s">
        <v>4</v>
      </c>
    </row>
    <row r="2" spans="1:7" x14ac:dyDescent="0.3">
      <c r="A2" t="s">
        <v>367</v>
      </c>
      <c r="B2" t="str">
        <f>"101000"</f>
        <v>101000</v>
      </c>
      <c r="C2" t="s">
        <v>368</v>
      </c>
      <c r="D2">
        <v>0</v>
      </c>
      <c r="E2">
        <v>0</v>
      </c>
      <c r="F2">
        <v>0</v>
      </c>
      <c r="G2">
        <v>0</v>
      </c>
    </row>
    <row r="3" spans="1:7" x14ac:dyDescent="0.3">
      <c r="A3" t="s">
        <v>367</v>
      </c>
      <c r="B3" t="str">
        <f>"120000"</f>
        <v>120000</v>
      </c>
      <c r="C3" t="s">
        <v>1874</v>
      </c>
      <c r="D3">
        <v>0</v>
      </c>
      <c r="E3">
        <v>0</v>
      </c>
      <c r="F3">
        <v>0</v>
      </c>
      <c r="G3">
        <v>0</v>
      </c>
    </row>
    <row r="4" spans="1:7" x14ac:dyDescent="0.3">
      <c r="A4" t="s">
        <v>367</v>
      </c>
      <c r="B4" t="str">
        <f>"121000"</f>
        <v>121000</v>
      </c>
      <c r="C4" t="s">
        <v>1058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367</v>
      </c>
      <c r="B5" t="str">
        <f>"129100"</f>
        <v>129100</v>
      </c>
      <c r="C5" t="s">
        <v>372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367</v>
      </c>
      <c r="B6" t="str">
        <f>"130100"</f>
        <v>130100</v>
      </c>
      <c r="C6" t="s">
        <v>1875</v>
      </c>
      <c r="D6">
        <v>0</v>
      </c>
      <c r="E6">
        <v>0</v>
      </c>
      <c r="F6">
        <v>0</v>
      </c>
      <c r="G6">
        <v>0</v>
      </c>
    </row>
    <row r="7" spans="1:7" x14ac:dyDescent="0.3">
      <c r="A7" t="s">
        <v>367</v>
      </c>
      <c r="B7" t="str">
        <f>"130900"</f>
        <v>130900</v>
      </c>
      <c r="C7" t="s">
        <v>1876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367</v>
      </c>
      <c r="B8" t="str">
        <f>"131000"</f>
        <v>131000</v>
      </c>
      <c r="C8" t="s">
        <v>1877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367</v>
      </c>
      <c r="B9" t="str">
        <f>"235100"</f>
        <v>235100</v>
      </c>
      <c r="C9" t="s">
        <v>376</v>
      </c>
      <c r="D9">
        <v>0</v>
      </c>
      <c r="E9">
        <v>0</v>
      </c>
      <c r="F9">
        <v>0</v>
      </c>
      <c r="G9">
        <v>0</v>
      </c>
    </row>
    <row r="10" spans="1:7" x14ac:dyDescent="0.3">
      <c r="A10" t="s">
        <v>367</v>
      </c>
      <c r="B10" t="str">
        <f>"244000"</f>
        <v>244000</v>
      </c>
      <c r="C10" t="s">
        <v>1785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367</v>
      </c>
      <c r="B11" t="str">
        <f>"244100"</f>
        <v>244100</v>
      </c>
      <c r="C11" t="s">
        <v>377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367</v>
      </c>
      <c r="B12" t="str">
        <f>"244400"</f>
        <v>244400</v>
      </c>
      <c r="C12" t="s">
        <v>378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367</v>
      </c>
      <c r="B13" t="str">
        <f>"245100"</f>
        <v>245100</v>
      </c>
      <c r="C13" t="s">
        <v>379</v>
      </c>
      <c r="D13">
        <v>0</v>
      </c>
      <c r="E13">
        <v>0</v>
      </c>
      <c r="F13">
        <v>0</v>
      </c>
      <c r="G13">
        <v>0</v>
      </c>
    </row>
    <row r="14" spans="1:7" x14ac:dyDescent="0.3">
      <c r="A14" t="s">
        <v>367</v>
      </c>
      <c r="B14" t="str">
        <f>"275100"</f>
        <v>275100</v>
      </c>
      <c r="C14" t="s">
        <v>380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367</v>
      </c>
      <c r="B15" t="str">
        <f>"275800"</f>
        <v>275800</v>
      </c>
      <c r="C15" t="s">
        <v>381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367</v>
      </c>
      <c r="B16" t="str">
        <f>"278000"</f>
        <v>278000</v>
      </c>
      <c r="C16" t="s">
        <v>382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367</v>
      </c>
      <c r="B17" t="str">
        <f>"284400"</f>
        <v>284400</v>
      </c>
      <c r="C17" t="s">
        <v>383</v>
      </c>
      <c r="D17">
        <v>0</v>
      </c>
      <c r="E17">
        <v>0</v>
      </c>
      <c r="F17">
        <v>0</v>
      </c>
      <c r="G17">
        <v>0</v>
      </c>
    </row>
    <row r="18" spans="1:7" x14ac:dyDescent="0.3">
      <c r="A18" t="s">
        <v>367</v>
      </c>
      <c r="B18" t="str">
        <f>"284500"</f>
        <v>284500</v>
      </c>
      <c r="C18" t="s">
        <v>384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367</v>
      </c>
      <c r="B19" t="str">
        <f>"40100000"</f>
        <v>40100000</v>
      </c>
      <c r="C19" t="s">
        <v>1878</v>
      </c>
      <c r="D19">
        <v>0</v>
      </c>
      <c r="E19">
        <v>0</v>
      </c>
      <c r="F19">
        <v>0</v>
      </c>
      <c r="G19">
        <v>0</v>
      </c>
    </row>
    <row r="20" spans="1:7" x14ac:dyDescent="0.3">
      <c r="A20" t="s">
        <v>367</v>
      </c>
      <c r="B20" t="str">
        <f>"401000"</f>
        <v>401000</v>
      </c>
      <c r="C20" t="s">
        <v>385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367</v>
      </c>
      <c r="B21" t="str">
        <f>"401200"</f>
        <v>401200</v>
      </c>
      <c r="C21" t="s">
        <v>386</v>
      </c>
      <c r="D21">
        <v>0</v>
      </c>
      <c r="E21">
        <v>0</v>
      </c>
      <c r="F21">
        <v>0</v>
      </c>
      <c r="G21">
        <v>0</v>
      </c>
    </row>
    <row r="22" spans="1:7" x14ac:dyDescent="0.3">
      <c r="A22" t="s">
        <v>367</v>
      </c>
      <c r="B22" t="str">
        <f>"408100"</f>
        <v>408100</v>
      </c>
      <c r="C22" t="s">
        <v>387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367</v>
      </c>
      <c r="B23" t="str">
        <f>"411000"</f>
        <v>411000</v>
      </c>
      <c r="C23" t="s">
        <v>388</v>
      </c>
      <c r="D23">
        <v>0</v>
      </c>
      <c r="E23">
        <v>0</v>
      </c>
      <c r="F23">
        <v>0</v>
      </c>
      <c r="G23">
        <v>0</v>
      </c>
    </row>
    <row r="24" spans="1:7" x14ac:dyDescent="0.3">
      <c r="A24" t="s">
        <v>367</v>
      </c>
      <c r="B24" t="str">
        <f>"419000"</f>
        <v>419000</v>
      </c>
      <c r="C24" t="s">
        <v>1879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367</v>
      </c>
      <c r="B25" t="str">
        <f>"42100000"</f>
        <v>42100000</v>
      </c>
      <c r="C25" t="s">
        <v>1880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367</v>
      </c>
      <c r="B26" t="str">
        <f>"421100"</f>
        <v>421100</v>
      </c>
      <c r="C26" t="s">
        <v>389</v>
      </c>
      <c r="D26">
        <v>0</v>
      </c>
      <c r="E26">
        <v>0</v>
      </c>
      <c r="F26">
        <v>0</v>
      </c>
      <c r="G26">
        <v>0</v>
      </c>
    </row>
    <row r="27" spans="1:7" x14ac:dyDescent="0.3">
      <c r="A27" t="s">
        <v>367</v>
      </c>
      <c r="B27" t="str">
        <f>"422000"</f>
        <v>422000</v>
      </c>
      <c r="C27" t="s">
        <v>1881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367</v>
      </c>
      <c r="B28" t="str">
        <f>"422100"</f>
        <v>422100</v>
      </c>
      <c r="C28" t="s">
        <v>393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367</v>
      </c>
      <c r="B29" t="str">
        <f>"431100"</f>
        <v>431100</v>
      </c>
      <c r="C29" t="s">
        <v>1882</v>
      </c>
      <c r="D29">
        <v>0</v>
      </c>
      <c r="E29">
        <v>0</v>
      </c>
      <c r="F29">
        <v>0</v>
      </c>
      <c r="G29">
        <v>0</v>
      </c>
    </row>
    <row r="30" spans="1:7" x14ac:dyDescent="0.3">
      <c r="A30" t="s">
        <v>367</v>
      </c>
      <c r="B30" t="str">
        <f>"431200"</f>
        <v>431200</v>
      </c>
      <c r="C30" t="s">
        <v>1883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367</v>
      </c>
      <c r="B31" t="str">
        <f>"441000"</f>
        <v>441000</v>
      </c>
      <c r="C31" t="s">
        <v>399</v>
      </c>
      <c r="D31">
        <v>0</v>
      </c>
      <c r="E31">
        <v>0</v>
      </c>
      <c r="F31">
        <v>0</v>
      </c>
      <c r="G31">
        <v>0</v>
      </c>
    </row>
    <row r="32" spans="1:7" x14ac:dyDescent="0.3">
      <c r="A32" t="s">
        <v>367</v>
      </c>
      <c r="B32" t="str">
        <f>"443200"</f>
        <v>443200</v>
      </c>
      <c r="C32" t="s">
        <v>400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367</v>
      </c>
      <c r="B33" t="str">
        <f>"444000"</f>
        <v>444000</v>
      </c>
      <c r="C33" t="s">
        <v>401</v>
      </c>
      <c r="D33">
        <v>0</v>
      </c>
      <c r="E33">
        <v>0</v>
      </c>
      <c r="F33">
        <v>0</v>
      </c>
      <c r="G33">
        <v>0</v>
      </c>
    </row>
    <row r="34" spans="1:7" x14ac:dyDescent="0.3">
      <c r="A34" t="s">
        <v>367</v>
      </c>
      <c r="B34" t="str">
        <f>"444900"</f>
        <v>444900</v>
      </c>
      <c r="C34" t="s">
        <v>402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367</v>
      </c>
      <c r="B35" t="str">
        <f>"445400"</f>
        <v>445400</v>
      </c>
      <c r="C35" t="s">
        <v>403</v>
      </c>
      <c r="D35">
        <v>0</v>
      </c>
      <c r="E35">
        <v>0</v>
      </c>
      <c r="F35">
        <v>0</v>
      </c>
      <c r="G35">
        <v>0</v>
      </c>
    </row>
    <row r="36" spans="1:7" x14ac:dyDescent="0.3">
      <c r="A36" t="s">
        <v>367</v>
      </c>
      <c r="B36" t="str">
        <f>"446000"</f>
        <v>446000</v>
      </c>
      <c r="C36" t="s">
        <v>404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367</v>
      </c>
      <c r="B37" t="str">
        <f>"447110"</f>
        <v>447110</v>
      </c>
      <c r="C37" t="s">
        <v>405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367</v>
      </c>
      <c r="B38" t="str">
        <f>"447140"</f>
        <v>447140</v>
      </c>
      <c r="C38" t="s">
        <v>1884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367</v>
      </c>
      <c r="B39" t="str">
        <f>"447200"</f>
        <v>447200</v>
      </c>
      <c r="C39" t="s">
        <v>1522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367</v>
      </c>
      <c r="B40" t="str">
        <f>"447210"</f>
        <v>447210</v>
      </c>
      <c r="C40" t="s">
        <v>1885</v>
      </c>
      <c r="D40">
        <v>0</v>
      </c>
      <c r="E40">
        <v>0</v>
      </c>
      <c r="F40">
        <v>0</v>
      </c>
      <c r="G40">
        <v>0</v>
      </c>
    </row>
    <row r="41" spans="1:7" x14ac:dyDescent="0.3">
      <c r="A41" t="s">
        <v>367</v>
      </c>
      <c r="B41" t="str">
        <f>"447300"</f>
        <v>447300</v>
      </c>
      <c r="C41" t="s">
        <v>1886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367</v>
      </c>
      <c r="B42" t="str">
        <f>"447400"</f>
        <v>447400</v>
      </c>
      <c r="C42" t="s">
        <v>1887</v>
      </c>
      <c r="D42">
        <v>0</v>
      </c>
      <c r="E42">
        <v>0</v>
      </c>
      <c r="F42">
        <v>0</v>
      </c>
      <c r="G42">
        <v>0</v>
      </c>
    </row>
    <row r="43" spans="1:7" x14ac:dyDescent="0.3">
      <c r="A43" t="s">
        <v>367</v>
      </c>
      <c r="B43" t="str">
        <f>"461200"</f>
        <v>461200</v>
      </c>
      <c r="C43" t="s">
        <v>672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367</v>
      </c>
      <c r="B44" t="str">
        <f>"462100"</f>
        <v>462100</v>
      </c>
      <c r="C44" t="s">
        <v>412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367</v>
      </c>
      <c r="B45" t="str">
        <f>"47111510"</f>
        <v>47111510</v>
      </c>
      <c r="C45" t="s">
        <v>648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367</v>
      </c>
      <c r="B46" t="str">
        <f>"471121"</f>
        <v>471121</v>
      </c>
      <c r="C46" t="s">
        <v>1797</v>
      </c>
      <c r="D46">
        <v>0</v>
      </c>
      <c r="E46">
        <v>0</v>
      </c>
      <c r="F46">
        <v>0</v>
      </c>
      <c r="G46">
        <v>0</v>
      </c>
    </row>
    <row r="47" spans="1:7" x14ac:dyDescent="0.3">
      <c r="A47" t="s">
        <v>367</v>
      </c>
      <c r="B47" t="str">
        <f>"471140"</f>
        <v>471140</v>
      </c>
      <c r="C47" t="s">
        <v>1798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367</v>
      </c>
      <c r="B48" t="str">
        <f>"471150"</f>
        <v>471150</v>
      </c>
      <c r="C48" t="s">
        <v>414</v>
      </c>
      <c r="D48">
        <v>0</v>
      </c>
      <c r="E48">
        <v>0</v>
      </c>
      <c r="F48">
        <v>0</v>
      </c>
      <c r="G48">
        <v>0</v>
      </c>
    </row>
    <row r="49" spans="1:7" x14ac:dyDescent="0.3">
      <c r="A49" t="s">
        <v>367</v>
      </c>
      <c r="B49" t="str">
        <f>"4711510"</f>
        <v>4711510</v>
      </c>
      <c r="C49" t="s">
        <v>1888</v>
      </c>
      <c r="D49">
        <v>0</v>
      </c>
      <c r="E49">
        <v>0</v>
      </c>
      <c r="F49">
        <v>0</v>
      </c>
      <c r="G49">
        <v>0</v>
      </c>
    </row>
    <row r="50" spans="1:7" x14ac:dyDescent="0.3">
      <c r="A50" t="s">
        <v>367</v>
      </c>
      <c r="B50" t="str">
        <f>"471151"</f>
        <v>471151</v>
      </c>
      <c r="C50" t="s">
        <v>1888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367</v>
      </c>
      <c r="B51" t="str">
        <f>"471160"</f>
        <v>471160</v>
      </c>
      <c r="C51" t="s">
        <v>415</v>
      </c>
      <c r="D51">
        <v>0</v>
      </c>
      <c r="E51">
        <v>0</v>
      </c>
      <c r="F51">
        <v>0</v>
      </c>
      <c r="G51">
        <v>0</v>
      </c>
    </row>
    <row r="52" spans="1:7" x14ac:dyDescent="0.3">
      <c r="A52" t="s">
        <v>367</v>
      </c>
      <c r="B52" t="str">
        <f>"471170"</f>
        <v>471170</v>
      </c>
      <c r="C52" t="s">
        <v>416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367</v>
      </c>
      <c r="B53" t="str">
        <f>"471180"</f>
        <v>471180</v>
      </c>
      <c r="C53" t="s">
        <v>417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367</v>
      </c>
      <c r="B54" t="str">
        <f>"471500"</f>
        <v>471500</v>
      </c>
      <c r="C54" t="s">
        <v>419</v>
      </c>
      <c r="D54">
        <v>0</v>
      </c>
      <c r="E54">
        <v>0</v>
      </c>
      <c r="F54">
        <v>0</v>
      </c>
      <c r="G54">
        <v>0</v>
      </c>
    </row>
    <row r="55" spans="1:7" x14ac:dyDescent="0.3">
      <c r="A55" t="s">
        <v>367</v>
      </c>
      <c r="B55" t="str">
        <f>"473000"</f>
        <v>473000</v>
      </c>
      <c r="C55" t="s">
        <v>1889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367</v>
      </c>
      <c r="B56" t="str">
        <f>"473100"</f>
        <v>473100</v>
      </c>
      <c r="C56" t="s">
        <v>1890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367</v>
      </c>
      <c r="B57" t="str">
        <f>"476000"</f>
        <v>476000</v>
      </c>
      <c r="C57" t="s">
        <v>421</v>
      </c>
      <c r="D57">
        <v>0</v>
      </c>
      <c r="E57">
        <v>0</v>
      </c>
      <c r="F57">
        <v>0</v>
      </c>
      <c r="G57">
        <v>0</v>
      </c>
    </row>
    <row r="58" spans="1:7" x14ac:dyDescent="0.3">
      <c r="A58" t="s">
        <v>367</v>
      </c>
      <c r="B58" t="str">
        <f>"476100"</f>
        <v>476100</v>
      </c>
      <c r="C58" t="s">
        <v>1891</v>
      </c>
      <c r="D58">
        <v>0</v>
      </c>
      <c r="E58">
        <v>0</v>
      </c>
      <c r="F58">
        <v>0</v>
      </c>
      <c r="G58">
        <v>0</v>
      </c>
    </row>
    <row r="59" spans="1:7" x14ac:dyDescent="0.3">
      <c r="A59" t="s">
        <v>367</v>
      </c>
      <c r="B59" t="str">
        <f>"477100"</f>
        <v>477100</v>
      </c>
      <c r="C59" t="s">
        <v>423</v>
      </c>
      <c r="D59">
        <v>0</v>
      </c>
      <c r="E59">
        <v>0</v>
      </c>
      <c r="F59">
        <v>0</v>
      </c>
      <c r="G59">
        <v>0</v>
      </c>
    </row>
    <row r="60" spans="1:7" x14ac:dyDescent="0.3">
      <c r="A60" t="s">
        <v>367</v>
      </c>
      <c r="B60" t="str">
        <f>"481000"</f>
        <v>481000</v>
      </c>
      <c r="C60" t="s">
        <v>424</v>
      </c>
      <c r="D60">
        <v>0</v>
      </c>
      <c r="E60">
        <v>0</v>
      </c>
      <c r="F60">
        <v>0</v>
      </c>
      <c r="G60">
        <v>0</v>
      </c>
    </row>
    <row r="61" spans="1:7" x14ac:dyDescent="0.3">
      <c r="A61" t="s">
        <v>367</v>
      </c>
      <c r="B61" t="str">
        <f>"521000"</f>
        <v>521000</v>
      </c>
      <c r="C61" t="s">
        <v>425</v>
      </c>
      <c r="D61">
        <v>0</v>
      </c>
      <c r="E61">
        <v>0</v>
      </c>
      <c r="F61">
        <v>0</v>
      </c>
      <c r="G61">
        <v>0</v>
      </c>
    </row>
    <row r="62" spans="1:7" x14ac:dyDescent="0.3">
      <c r="A62" t="s">
        <v>367</v>
      </c>
      <c r="B62" t="str">
        <f>"571100"</f>
        <v>571100</v>
      </c>
      <c r="C62" t="s">
        <v>426</v>
      </c>
      <c r="D62">
        <v>0</v>
      </c>
      <c r="E62">
        <v>0</v>
      </c>
      <c r="F62">
        <v>0</v>
      </c>
      <c r="G62">
        <v>0</v>
      </c>
    </row>
    <row r="63" spans="1:7" x14ac:dyDescent="0.3">
      <c r="A63" t="s">
        <v>367</v>
      </c>
      <c r="B63" t="str">
        <f>"585000"</f>
        <v>585000</v>
      </c>
      <c r="C63" t="s">
        <v>427</v>
      </c>
      <c r="D63">
        <v>0</v>
      </c>
      <c r="E63">
        <v>0</v>
      </c>
      <c r="F63">
        <v>0</v>
      </c>
      <c r="G63">
        <v>0</v>
      </c>
    </row>
    <row r="64" spans="1:7" x14ac:dyDescent="0.3">
      <c r="A64" t="s">
        <v>367</v>
      </c>
      <c r="B64" t="str">
        <f>"604710"</f>
        <v>604710</v>
      </c>
      <c r="C64" t="s">
        <v>430</v>
      </c>
      <c r="D64">
        <v>0</v>
      </c>
      <c r="E64">
        <v>0</v>
      </c>
      <c r="F64">
        <v>0</v>
      </c>
      <c r="G64">
        <v>0</v>
      </c>
    </row>
    <row r="65" spans="1:7" x14ac:dyDescent="0.3">
      <c r="A65" t="s">
        <v>367</v>
      </c>
      <c r="B65" t="str">
        <f>"605100"</f>
        <v>605100</v>
      </c>
      <c r="C65" t="s">
        <v>431</v>
      </c>
      <c r="D65">
        <v>0</v>
      </c>
      <c r="E65">
        <v>0</v>
      </c>
      <c r="F65">
        <v>0</v>
      </c>
      <c r="G65">
        <v>0</v>
      </c>
    </row>
    <row r="66" spans="1:7" x14ac:dyDescent="0.3">
      <c r="A66" t="s">
        <v>367</v>
      </c>
      <c r="B66" t="str">
        <f>"605200"</f>
        <v>605200</v>
      </c>
      <c r="C66" t="s">
        <v>432</v>
      </c>
      <c r="D66">
        <v>0</v>
      </c>
      <c r="E66">
        <v>0</v>
      </c>
      <c r="F66">
        <v>0</v>
      </c>
      <c r="G66">
        <v>0</v>
      </c>
    </row>
    <row r="67" spans="1:7" x14ac:dyDescent="0.3">
      <c r="A67" t="s">
        <v>367</v>
      </c>
      <c r="B67" t="str">
        <f>"605300"</f>
        <v>605300</v>
      </c>
      <c r="C67" t="s">
        <v>433</v>
      </c>
      <c r="D67">
        <v>0</v>
      </c>
      <c r="E67">
        <v>0</v>
      </c>
      <c r="F67">
        <v>0</v>
      </c>
      <c r="G67">
        <v>0</v>
      </c>
    </row>
    <row r="68" spans="1:7" x14ac:dyDescent="0.3">
      <c r="A68" t="s">
        <v>367</v>
      </c>
      <c r="B68" t="str">
        <f>"605310"</f>
        <v>605310</v>
      </c>
      <c r="C68" t="s">
        <v>1892</v>
      </c>
      <c r="D68">
        <v>0</v>
      </c>
      <c r="E68">
        <v>0</v>
      </c>
      <c r="F68">
        <v>0</v>
      </c>
      <c r="G68">
        <v>0</v>
      </c>
    </row>
    <row r="69" spans="1:7" x14ac:dyDescent="0.3">
      <c r="A69" t="s">
        <v>367</v>
      </c>
      <c r="B69" t="str">
        <f>"605400"</f>
        <v>605400</v>
      </c>
      <c r="C69" t="s">
        <v>1801</v>
      </c>
      <c r="D69">
        <v>0</v>
      </c>
      <c r="E69">
        <v>0</v>
      </c>
      <c r="F69">
        <v>0</v>
      </c>
      <c r="G69">
        <v>0</v>
      </c>
    </row>
    <row r="70" spans="1:7" x14ac:dyDescent="0.3">
      <c r="A70" t="s">
        <v>367</v>
      </c>
      <c r="B70" t="str">
        <f>"605410"</f>
        <v>605410</v>
      </c>
      <c r="C70" t="s">
        <v>1893</v>
      </c>
      <c r="D70">
        <v>0</v>
      </c>
      <c r="E70">
        <v>0</v>
      </c>
      <c r="F70">
        <v>0</v>
      </c>
      <c r="G70">
        <v>0</v>
      </c>
    </row>
    <row r="71" spans="1:7" x14ac:dyDescent="0.3">
      <c r="A71" t="s">
        <v>367</v>
      </c>
      <c r="B71" t="str">
        <f>"605500"</f>
        <v>605500</v>
      </c>
      <c r="C71" t="s">
        <v>1894</v>
      </c>
      <c r="D71">
        <v>0</v>
      </c>
      <c r="E71">
        <v>0</v>
      </c>
      <c r="F71">
        <v>0</v>
      </c>
      <c r="G71">
        <v>0</v>
      </c>
    </row>
    <row r="72" spans="1:7" x14ac:dyDescent="0.3">
      <c r="A72" t="s">
        <v>367</v>
      </c>
      <c r="B72" t="str">
        <f>"605510"</f>
        <v>605510</v>
      </c>
      <c r="C72" t="s">
        <v>1162</v>
      </c>
      <c r="D72">
        <v>0</v>
      </c>
      <c r="E72">
        <v>0</v>
      </c>
      <c r="F72">
        <v>0</v>
      </c>
      <c r="G72">
        <v>0</v>
      </c>
    </row>
    <row r="73" spans="1:7" x14ac:dyDescent="0.3">
      <c r="A73" t="s">
        <v>367</v>
      </c>
      <c r="B73" t="str">
        <f>"605600"</f>
        <v>605600</v>
      </c>
      <c r="C73" t="s">
        <v>438</v>
      </c>
      <c r="D73">
        <v>0</v>
      </c>
      <c r="E73">
        <v>0</v>
      </c>
      <c r="F73">
        <v>0</v>
      </c>
      <c r="G73">
        <v>0</v>
      </c>
    </row>
    <row r="74" spans="1:7" x14ac:dyDescent="0.3">
      <c r="A74" t="s">
        <v>367</v>
      </c>
      <c r="B74" t="str">
        <f>"605700"</f>
        <v>605700</v>
      </c>
      <c r="C74" t="s">
        <v>1408</v>
      </c>
      <c r="D74">
        <v>0</v>
      </c>
      <c r="E74">
        <v>0</v>
      </c>
      <c r="F74">
        <v>0</v>
      </c>
      <c r="G74">
        <v>0</v>
      </c>
    </row>
    <row r="75" spans="1:7" x14ac:dyDescent="0.3">
      <c r="A75" t="s">
        <v>367</v>
      </c>
      <c r="B75" t="str">
        <f>"605800"</f>
        <v>605800</v>
      </c>
      <c r="C75" t="s">
        <v>440</v>
      </c>
      <c r="D75">
        <v>0</v>
      </c>
      <c r="E75">
        <v>0</v>
      </c>
      <c r="F75">
        <v>0</v>
      </c>
      <c r="G75">
        <v>0</v>
      </c>
    </row>
    <row r="76" spans="1:7" x14ac:dyDescent="0.3">
      <c r="A76" t="s">
        <v>367</v>
      </c>
      <c r="B76" t="str">
        <f>"616000"</f>
        <v>616000</v>
      </c>
      <c r="C76" t="s">
        <v>441</v>
      </c>
      <c r="D76">
        <v>0</v>
      </c>
      <c r="E76">
        <v>0</v>
      </c>
      <c r="F76">
        <v>0</v>
      </c>
      <c r="G76">
        <v>0</v>
      </c>
    </row>
    <row r="77" spans="1:7" x14ac:dyDescent="0.3">
      <c r="A77" t="s">
        <v>367</v>
      </c>
      <c r="B77" t="str">
        <f>"618100"</f>
        <v>618100</v>
      </c>
      <c r="C77" t="s">
        <v>442</v>
      </c>
      <c r="D77">
        <v>0</v>
      </c>
      <c r="E77">
        <v>0</v>
      </c>
      <c r="F77">
        <v>0</v>
      </c>
      <c r="G77">
        <v>0</v>
      </c>
    </row>
    <row r="78" spans="1:7" x14ac:dyDescent="0.3">
      <c r="A78" t="s">
        <v>367</v>
      </c>
      <c r="B78" t="str">
        <f>"621000"</f>
        <v>621000</v>
      </c>
      <c r="C78" t="s">
        <v>1895</v>
      </c>
      <c r="D78">
        <v>0</v>
      </c>
      <c r="E78">
        <v>0</v>
      </c>
      <c r="F78">
        <v>0</v>
      </c>
      <c r="G78">
        <v>0</v>
      </c>
    </row>
    <row r="79" spans="1:7" x14ac:dyDescent="0.3">
      <c r="A79" t="s">
        <v>367</v>
      </c>
      <c r="B79" t="str">
        <f>"621100"</f>
        <v>621100</v>
      </c>
      <c r="C79" t="s">
        <v>444</v>
      </c>
      <c r="D79">
        <v>0</v>
      </c>
      <c r="E79">
        <v>0</v>
      </c>
      <c r="F79">
        <v>0</v>
      </c>
      <c r="G79">
        <v>0</v>
      </c>
    </row>
    <row r="80" spans="1:7" x14ac:dyDescent="0.3">
      <c r="A80" t="s">
        <v>367</v>
      </c>
      <c r="B80" t="str">
        <f>"622000"</f>
        <v>622000</v>
      </c>
      <c r="C80" t="s">
        <v>446</v>
      </c>
      <c r="D80">
        <v>0</v>
      </c>
      <c r="E80">
        <v>0</v>
      </c>
      <c r="F80">
        <v>0</v>
      </c>
      <c r="G80">
        <v>0</v>
      </c>
    </row>
    <row r="81" spans="1:7" x14ac:dyDescent="0.3">
      <c r="A81" t="s">
        <v>367</v>
      </c>
      <c r="B81" t="str">
        <f>"622100"</f>
        <v>622100</v>
      </c>
      <c r="C81" t="s">
        <v>1896</v>
      </c>
      <c r="D81">
        <v>0</v>
      </c>
      <c r="E81">
        <v>0</v>
      </c>
      <c r="F81">
        <v>0</v>
      </c>
      <c r="G81">
        <v>0</v>
      </c>
    </row>
    <row r="82" spans="1:7" x14ac:dyDescent="0.3">
      <c r="A82" t="s">
        <v>367</v>
      </c>
      <c r="B82" t="str">
        <f>"622810"</f>
        <v>622810</v>
      </c>
      <c r="C82" t="s">
        <v>1897</v>
      </c>
      <c r="D82">
        <v>0</v>
      </c>
      <c r="E82">
        <v>0</v>
      </c>
      <c r="F82">
        <v>0</v>
      </c>
      <c r="G82">
        <v>0</v>
      </c>
    </row>
    <row r="83" spans="1:7" x14ac:dyDescent="0.3">
      <c r="A83" t="s">
        <v>367</v>
      </c>
      <c r="B83" t="str">
        <f>"624210"</f>
        <v>624210</v>
      </c>
      <c r="C83" t="s">
        <v>1898</v>
      </c>
      <c r="D83">
        <v>0</v>
      </c>
      <c r="E83">
        <v>0</v>
      </c>
      <c r="F83">
        <v>0</v>
      </c>
      <c r="G83">
        <v>0</v>
      </c>
    </row>
    <row r="84" spans="1:7" x14ac:dyDescent="0.3">
      <c r="A84" t="s">
        <v>367</v>
      </c>
      <c r="B84" t="str">
        <f>"624220"</f>
        <v>624220</v>
      </c>
      <c r="C84" t="s">
        <v>1899</v>
      </c>
      <c r="D84">
        <v>0</v>
      </c>
      <c r="E84">
        <v>0</v>
      </c>
      <c r="F84">
        <v>0</v>
      </c>
      <c r="G84">
        <v>0</v>
      </c>
    </row>
    <row r="85" spans="1:7" x14ac:dyDescent="0.3">
      <c r="A85" t="s">
        <v>367</v>
      </c>
      <c r="B85" t="str">
        <f>"624230"</f>
        <v>624230</v>
      </c>
      <c r="C85" t="s">
        <v>1900</v>
      </c>
      <c r="D85">
        <v>0</v>
      </c>
      <c r="E85">
        <v>0</v>
      </c>
      <c r="F85">
        <v>0</v>
      </c>
      <c r="G85">
        <v>0</v>
      </c>
    </row>
    <row r="86" spans="1:7" x14ac:dyDescent="0.3">
      <c r="A86" t="s">
        <v>367</v>
      </c>
      <c r="B86" t="str">
        <f>"624300"</f>
        <v>624300</v>
      </c>
      <c r="C86" t="s">
        <v>1901</v>
      </c>
      <c r="D86">
        <v>0</v>
      </c>
      <c r="E86">
        <v>0</v>
      </c>
      <c r="F86">
        <v>0</v>
      </c>
      <c r="G86">
        <v>0</v>
      </c>
    </row>
    <row r="87" spans="1:7" x14ac:dyDescent="0.3">
      <c r="A87" t="s">
        <v>367</v>
      </c>
      <c r="B87" t="str">
        <f>"624800"</f>
        <v>624800</v>
      </c>
      <c r="C87" t="s">
        <v>453</v>
      </c>
      <c r="D87">
        <v>0</v>
      </c>
      <c r="E87">
        <v>0</v>
      </c>
      <c r="F87">
        <v>0</v>
      </c>
      <c r="G87">
        <v>0</v>
      </c>
    </row>
    <row r="88" spans="1:7" x14ac:dyDescent="0.3">
      <c r="A88" t="s">
        <v>367</v>
      </c>
      <c r="B88" t="str">
        <f>"624810"</f>
        <v>624810</v>
      </c>
      <c r="C88" t="s">
        <v>1417</v>
      </c>
      <c r="D88">
        <v>0</v>
      </c>
      <c r="E88">
        <v>0</v>
      </c>
      <c r="F88">
        <v>0</v>
      </c>
      <c r="G88">
        <v>0</v>
      </c>
    </row>
    <row r="89" spans="1:7" x14ac:dyDescent="0.3">
      <c r="A89" t="s">
        <v>367</v>
      </c>
      <c r="B89" t="str">
        <f>"62500"</f>
        <v>62500</v>
      </c>
      <c r="C89" t="s">
        <v>1902</v>
      </c>
      <c r="D89">
        <v>0</v>
      </c>
      <c r="E89">
        <v>0</v>
      </c>
      <c r="F89">
        <v>0</v>
      </c>
      <c r="G89">
        <v>0</v>
      </c>
    </row>
    <row r="90" spans="1:7" x14ac:dyDescent="0.3">
      <c r="A90" t="s">
        <v>367</v>
      </c>
      <c r="B90" t="str">
        <f>"625200"</f>
        <v>625200</v>
      </c>
      <c r="C90" t="s">
        <v>1810</v>
      </c>
      <c r="D90">
        <v>0</v>
      </c>
      <c r="E90">
        <v>0</v>
      </c>
      <c r="F90">
        <v>0</v>
      </c>
      <c r="G90">
        <v>0</v>
      </c>
    </row>
    <row r="91" spans="1:7" x14ac:dyDescent="0.3">
      <c r="A91" t="s">
        <v>367</v>
      </c>
      <c r="B91" t="str">
        <f>"625810"</f>
        <v>625810</v>
      </c>
      <c r="C91" t="s">
        <v>1903</v>
      </c>
      <c r="D91">
        <v>0</v>
      </c>
      <c r="E91">
        <v>0</v>
      </c>
      <c r="F91">
        <v>0</v>
      </c>
      <c r="G91">
        <v>0</v>
      </c>
    </row>
    <row r="92" spans="1:7" x14ac:dyDescent="0.3">
      <c r="A92" t="s">
        <v>367</v>
      </c>
      <c r="B92" t="str">
        <f>"626500"</f>
        <v>626500</v>
      </c>
      <c r="C92" t="s">
        <v>456</v>
      </c>
      <c r="D92">
        <v>0</v>
      </c>
      <c r="E92">
        <v>0</v>
      </c>
      <c r="F92">
        <v>0</v>
      </c>
      <c r="G92">
        <v>0</v>
      </c>
    </row>
    <row r="93" spans="1:7" x14ac:dyDescent="0.3">
      <c r="A93" t="s">
        <v>367</v>
      </c>
      <c r="B93" t="str">
        <f>"627200"</f>
        <v>627200</v>
      </c>
      <c r="C93" t="s">
        <v>458</v>
      </c>
      <c r="D93">
        <v>0</v>
      </c>
      <c r="E93">
        <v>0</v>
      </c>
      <c r="F93">
        <v>0</v>
      </c>
      <c r="G93">
        <v>0</v>
      </c>
    </row>
    <row r="94" spans="1:7" x14ac:dyDescent="0.3">
      <c r="A94" t="s">
        <v>367</v>
      </c>
      <c r="B94" t="str">
        <f>"627400"</f>
        <v>627400</v>
      </c>
      <c r="C94" t="s">
        <v>459</v>
      </c>
      <c r="D94">
        <v>0</v>
      </c>
      <c r="E94">
        <v>0</v>
      </c>
      <c r="F94">
        <v>0</v>
      </c>
      <c r="G94">
        <v>0</v>
      </c>
    </row>
    <row r="95" spans="1:7" x14ac:dyDescent="0.3">
      <c r="A95" t="s">
        <v>367</v>
      </c>
      <c r="B95" t="str">
        <f>"627600"</f>
        <v>627600</v>
      </c>
      <c r="C95" t="s">
        <v>461</v>
      </c>
      <c r="D95">
        <v>0</v>
      </c>
      <c r="E95">
        <v>0</v>
      </c>
      <c r="F95">
        <v>0</v>
      </c>
      <c r="G95">
        <v>0</v>
      </c>
    </row>
    <row r="96" spans="1:7" x14ac:dyDescent="0.3">
      <c r="A96" t="s">
        <v>367</v>
      </c>
      <c r="B96" t="str">
        <f>"628100"</f>
        <v>628100</v>
      </c>
      <c r="C96" t="s">
        <v>463</v>
      </c>
      <c r="D96">
        <v>0</v>
      </c>
      <c r="E96">
        <v>0</v>
      </c>
      <c r="F96">
        <v>0</v>
      </c>
      <c r="G96">
        <v>0</v>
      </c>
    </row>
    <row r="97" spans="1:7" x14ac:dyDescent="0.3">
      <c r="A97" t="s">
        <v>367</v>
      </c>
      <c r="B97" t="str">
        <f>"628110"</f>
        <v>628110</v>
      </c>
      <c r="C97" t="s">
        <v>1418</v>
      </c>
      <c r="D97">
        <v>0</v>
      </c>
      <c r="E97">
        <v>0</v>
      </c>
      <c r="F97">
        <v>0</v>
      </c>
      <c r="G97">
        <v>0</v>
      </c>
    </row>
    <row r="98" spans="1:7" x14ac:dyDescent="0.3">
      <c r="A98" t="s">
        <v>367</v>
      </c>
      <c r="B98" t="str">
        <f>"628300"</f>
        <v>628300</v>
      </c>
      <c r="C98" t="s">
        <v>1904</v>
      </c>
      <c r="D98">
        <v>0</v>
      </c>
      <c r="E98">
        <v>0</v>
      </c>
      <c r="F98">
        <v>0</v>
      </c>
      <c r="G98">
        <v>0</v>
      </c>
    </row>
    <row r="99" spans="1:7" x14ac:dyDescent="0.3">
      <c r="A99" t="s">
        <v>367</v>
      </c>
      <c r="B99" t="str">
        <f>"628800"</f>
        <v>628800</v>
      </c>
      <c r="C99" t="s">
        <v>466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 t="s">
        <v>367</v>
      </c>
      <c r="B100" t="str">
        <f>"631700"</f>
        <v>631700</v>
      </c>
      <c r="C100" t="s">
        <v>1905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 t="s">
        <v>367</v>
      </c>
      <c r="B101" t="str">
        <f>"631800"</f>
        <v>631800</v>
      </c>
      <c r="C101" t="s">
        <v>468</v>
      </c>
      <c r="D101">
        <v>0</v>
      </c>
      <c r="E101">
        <v>0</v>
      </c>
      <c r="F101">
        <v>0</v>
      </c>
      <c r="G101">
        <v>0</v>
      </c>
    </row>
    <row r="102" spans="1:7" x14ac:dyDescent="0.3">
      <c r="A102" t="s">
        <v>367</v>
      </c>
      <c r="B102" t="str">
        <f>"632400"</f>
        <v>632400</v>
      </c>
      <c r="C102" t="s">
        <v>1906</v>
      </c>
      <c r="D102">
        <v>0</v>
      </c>
      <c r="E102">
        <v>0</v>
      </c>
      <c r="F102">
        <v>0</v>
      </c>
      <c r="G102">
        <v>0</v>
      </c>
    </row>
    <row r="103" spans="1:7" x14ac:dyDescent="0.3">
      <c r="A103" t="s">
        <v>367</v>
      </c>
      <c r="B103" t="str">
        <f>"632410"</f>
        <v>632410</v>
      </c>
      <c r="C103" t="s">
        <v>470</v>
      </c>
      <c r="D103">
        <v>0</v>
      </c>
      <c r="E103">
        <v>0</v>
      </c>
      <c r="F103">
        <v>0</v>
      </c>
      <c r="G103">
        <v>0</v>
      </c>
    </row>
    <row r="104" spans="1:7" x14ac:dyDescent="0.3">
      <c r="A104" t="s">
        <v>367</v>
      </c>
      <c r="B104" t="str">
        <f>"632420"</f>
        <v>632420</v>
      </c>
      <c r="C104" t="s">
        <v>1907</v>
      </c>
      <c r="D104">
        <v>0</v>
      </c>
      <c r="E104">
        <v>0</v>
      </c>
      <c r="F104">
        <v>0</v>
      </c>
      <c r="G104">
        <v>0</v>
      </c>
    </row>
    <row r="105" spans="1:7" x14ac:dyDescent="0.3">
      <c r="A105" t="s">
        <v>367</v>
      </c>
      <c r="B105" t="str">
        <f>"632430"</f>
        <v>632430</v>
      </c>
      <c r="C105" t="s">
        <v>471</v>
      </c>
      <c r="D105">
        <v>0</v>
      </c>
      <c r="E105">
        <v>0</v>
      </c>
      <c r="F105">
        <v>0</v>
      </c>
      <c r="G105">
        <v>0</v>
      </c>
    </row>
    <row r="106" spans="1:7" x14ac:dyDescent="0.3">
      <c r="A106" t="s">
        <v>367</v>
      </c>
      <c r="B106" t="str">
        <f>"632440"</f>
        <v>632440</v>
      </c>
      <c r="C106" t="s">
        <v>1908</v>
      </c>
      <c r="D106">
        <v>0</v>
      </c>
      <c r="E106">
        <v>0</v>
      </c>
      <c r="F106">
        <v>0</v>
      </c>
      <c r="G106">
        <v>0</v>
      </c>
    </row>
    <row r="107" spans="1:7" x14ac:dyDescent="0.3">
      <c r="A107" t="s">
        <v>367</v>
      </c>
      <c r="B107" t="str">
        <f>"632450"</f>
        <v>632450</v>
      </c>
      <c r="C107" t="s">
        <v>1909</v>
      </c>
      <c r="D107">
        <v>0</v>
      </c>
      <c r="E107">
        <v>0</v>
      </c>
      <c r="F107">
        <v>0</v>
      </c>
      <c r="G107">
        <v>0</v>
      </c>
    </row>
    <row r="108" spans="1:7" x14ac:dyDescent="0.3">
      <c r="A108" t="s">
        <v>367</v>
      </c>
      <c r="B108" t="str">
        <f>"632500"</f>
        <v>632500</v>
      </c>
      <c r="C108" t="s">
        <v>1910</v>
      </c>
      <c r="D108">
        <v>0</v>
      </c>
      <c r="E108">
        <v>0</v>
      </c>
      <c r="F108">
        <v>0</v>
      </c>
      <c r="G108">
        <v>0</v>
      </c>
    </row>
    <row r="109" spans="1:7" x14ac:dyDescent="0.3">
      <c r="A109" t="s">
        <v>367</v>
      </c>
      <c r="B109" t="str">
        <f>"632510"</f>
        <v>632510</v>
      </c>
      <c r="C109" t="s">
        <v>1911</v>
      </c>
      <c r="D109">
        <v>0</v>
      </c>
      <c r="E109">
        <v>0</v>
      </c>
      <c r="F109">
        <v>0</v>
      </c>
      <c r="G109">
        <v>0</v>
      </c>
    </row>
    <row r="110" spans="1:7" x14ac:dyDescent="0.3">
      <c r="A110" t="s">
        <v>367</v>
      </c>
      <c r="B110" t="str">
        <f>"632800"</f>
        <v>632800</v>
      </c>
      <c r="C110" t="s">
        <v>474</v>
      </c>
      <c r="D110">
        <v>0</v>
      </c>
      <c r="E110">
        <v>0</v>
      </c>
      <c r="F110">
        <v>0</v>
      </c>
      <c r="G110">
        <v>0</v>
      </c>
    </row>
    <row r="111" spans="1:7" x14ac:dyDescent="0.3">
      <c r="A111" t="s">
        <v>367</v>
      </c>
      <c r="B111" t="str">
        <f>"632810"</f>
        <v>632810</v>
      </c>
      <c r="C111" t="s">
        <v>475</v>
      </c>
      <c r="D111">
        <v>0</v>
      </c>
      <c r="E111">
        <v>0</v>
      </c>
      <c r="F111">
        <v>0</v>
      </c>
      <c r="G111">
        <v>0</v>
      </c>
    </row>
    <row r="112" spans="1:7" x14ac:dyDescent="0.3">
      <c r="A112" t="s">
        <v>367</v>
      </c>
      <c r="B112" t="str">
        <f>"632811"</f>
        <v>632811</v>
      </c>
      <c r="C112" t="s">
        <v>476</v>
      </c>
      <c r="D112">
        <v>0</v>
      </c>
      <c r="E112">
        <v>0</v>
      </c>
      <c r="F112">
        <v>0</v>
      </c>
      <c r="G112">
        <v>0</v>
      </c>
    </row>
    <row r="113" spans="1:7" x14ac:dyDescent="0.3">
      <c r="A113" t="s">
        <v>367</v>
      </c>
      <c r="B113" t="str">
        <f>"632820"</f>
        <v>632820</v>
      </c>
      <c r="C113" t="s">
        <v>1596</v>
      </c>
      <c r="D113">
        <v>0</v>
      </c>
      <c r="E113">
        <v>0</v>
      </c>
      <c r="F113">
        <v>0</v>
      </c>
      <c r="G113">
        <v>0</v>
      </c>
    </row>
    <row r="114" spans="1:7" x14ac:dyDescent="0.3">
      <c r="A114" t="s">
        <v>367</v>
      </c>
      <c r="B114" t="str">
        <f>"632830"</f>
        <v>632830</v>
      </c>
      <c r="C114" t="s">
        <v>1597</v>
      </c>
      <c r="D114">
        <v>0</v>
      </c>
      <c r="E114">
        <v>0</v>
      </c>
      <c r="F114">
        <v>0</v>
      </c>
      <c r="G114">
        <v>0</v>
      </c>
    </row>
    <row r="115" spans="1:7" x14ac:dyDescent="0.3">
      <c r="A115" t="s">
        <v>367</v>
      </c>
      <c r="B115" t="str">
        <f>"634300"</f>
        <v>634300</v>
      </c>
      <c r="C115" t="s">
        <v>1427</v>
      </c>
      <c r="D115">
        <v>0</v>
      </c>
      <c r="E115">
        <v>0</v>
      </c>
      <c r="F115">
        <v>0</v>
      </c>
      <c r="G115">
        <v>0</v>
      </c>
    </row>
    <row r="116" spans="1:7" x14ac:dyDescent="0.3">
      <c r="A116" t="s">
        <v>367</v>
      </c>
      <c r="B116" t="str">
        <f>"634500"</f>
        <v>634500</v>
      </c>
      <c r="C116" t="s">
        <v>1912</v>
      </c>
      <c r="D116">
        <v>0</v>
      </c>
      <c r="E116">
        <v>0</v>
      </c>
      <c r="F116">
        <v>0</v>
      </c>
      <c r="G116">
        <v>0</v>
      </c>
    </row>
    <row r="117" spans="1:7" x14ac:dyDescent="0.3">
      <c r="A117" t="s">
        <v>367</v>
      </c>
      <c r="B117" t="str">
        <f>"635110"</f>
        <v>635110</v>
      </c>
      <c r="C117" t="s">
        <v>1913</v>
      </c>
      <c r="D117">
        <v>0</v>
      </c>
      <c r="E117">
        <v>0</v>
      </c>
      <c r="F117">
        <v>0</v>
      </c>
      <c r="G117">
        <v>0</v>
      </c>
    </row>
    <row r="118" spans="1:7" x14ac:dyDescent="0.3">
      <c r="A118" t="s">
        <v>367</v>
      </c>
      <c r="B118" t="str">
        <f>"637110"</f>
        <v>637110</v>
      </c>
      <c r="C118" t="s">
        <v>1914</v>
      </c>
      <c r="D118">
        <v>0</v>
      </c>
      <c r="E118">
        <v>0</v>
      </c>
      <c r="F118">
        <v>0</v>
      </c>
      <c r="G118">
        <v>0</v>
      </c>
    </row>
    <row r="119" spans="1:7" x14ac:dyDescent="0.3">
      <c r="A119" t="s">
        <v>367</v>
      </c>
      <c r="B119" t="str">
        <f>"638100"</f>
        <v>638100</v>
      </c>
      <c r="C119" t="s">
        <v>1237</v>
      </c>
      <c r="D119">
        <v>0</v>
      </c>
      <c r="E119">
        <v>0</v>
      </c>
      <c r="F119">
        <v>0</v>
      </c>
      <c r="G119">
        <v>0</v>
      </c>
    </row>
    <row r="120" spans="1:7" x14ac:dyDescent="0.3">
      <c r="A120" t="s">
        <v>367</v>
      </c>
      <c r="B120" t="str">
        <f>"638200"</f>
        <v>638200</v>
      </c>
      <c r="C120" t="s">
        <v>482</v>
      </c>
      <c r="D120">
        <v>0</v>
      </c>
      <c r="E120">
        <v>0</v>
      </c>
      <c r="F120">
        <v>0</v>
      </c>
      <c r="G120">
        <v>0</v>
      </c>
    </row>
    <row r="121" spans="1:7" x14ac:dyDescent="0.3">
      <c r="A121" t="s">
        <v>367</v>
      </c>
      <c r="B121" t="str">
        <f>"638300"</f>
        <v>638300</v>
      </c>
      <c r="C121" t="s">
        <v>483</v>
      </c>
      <c r="D121">
        <v>0</v>
      </c>
      <c r="E121">
        <v>0</v>
      </c>
      <c r="F121">
        <v>0</v>
      </c>
      <c r="G121">
        <v>0</v>
      </c>
    </row>
    <row r="122" spans="1:7" x14ac:dyDescent="0.3">
      <c r="A122" t="s">
        <v>367</v>
      </c>
      <c r="B122" t="str">
        <f>"638400"</f>
        <v>638400</v>
      </c>
      <c r="C122" t="s">
        <v>484</v>
      </c>
      <c r="D122">
        <v>0</v>
      </c>
      <c r="E122">
        <v>0</v>
      </c>
      <c r="F122">
        <v>0</v>
      </c>
      <c r="G122">
        <v>0</v>
      </c>
    </row>
    <row r="123" spans="1:7" x14ac:dyDescent="0.3">
      <c r="A123" t="s">
        <v>367</v>
      </c>
      <c r="B123" t="str">
        <f>"638410"</f>
        <v>638410</v>
      </c>
      <c r="C123" t="s">
        <v>1430</v>
      </c>
      <c r="D123">
        <v>0</v>
      </c>
      <c r="E123">
        <v>0</v>
      </c>
      <c r="F123">
        <v>0</v>
      </c>
      <c r="G123">
        <v>0</v>
      </c>
    </row>
    <row r="124" spans="1:7" x14ac:dyDescent="0.3">
      <c r="A124" t="s">
        <v>367</v>
      </c>
      <c r="B124" t="str">
        <f>"641100"</f>
        <v>641100</v>
      </c>
      <c r="C124" t="s">
        <v>486</v>
      </c>
      <c r="D124">
        <v>0</v>
      </c>
      <c r="E124">
        <v>0</v>
      </c>
      <c r="F124">
        <v>0</v>
      </c>
      <c r="G124">
        <v>0</v>
      </c>
    </row>
    <row r="125" spans="1:7" x14ac:dyDescent="0.3">
      <c r="A125" t="s">
        <v>367</v>
      </c>
      <c r="B125" t="str">
        <f>"641200"</f>
        <v>641200</v>
      </c>
      <c r="C125" t="s">
        <v>487</v>
      </c>
      <c r="D125">
        <v>0</v>
      </c>
      <c r="E125">
        <v>0</v>
      </c>
      <c r="F125">
        <v>0</v>
      </c>
      <c r="G125">
        <v>0</v>
      </c>
    </row>
    <row r="126" spans="1:7" x14ac:dyDescent="0.3">
      <c r="A126" t="s">
        <v>367</v>
      </c>
      <c r="B126" t="str">
        <f>"641300"</f>
        <v>641300</v>
      </c>
      <c r="C126" t="s">
        <v>1915</v>
      </c>
      <c r="D126">
        <v>0</v>
      </c>
      <c r="E126">
        <v>0</v>
      </c>
      <c r="F126">
        <v>0</v>
      </c>
      <c r="G126">
        <v>0</v>
      </c>
    </row>
    <row r="127" spans="1:7" x14ac:dyDescent="0.3">
      <c r="A127" t="s">
        <v>367</v>
      </c>
      <c r="B127" t="str">
        <f>"641301"</f>
        <v>641301</v>
      </c>
      <c r="C127" t="s">
        <v>1916</v>
      </c>
      <c r="D127">
        <v>0</v>
      </c>
      <c r="E127">
        <v>0</v>
      </c>
      <c r="F127">
        <v>0</v>
      </c>
      <c r="G127">
        <v>0</v>
      </c>
    </row>
    <row r="128" spans="1:7" x14ac:dyDescent="0.3">
      <c r="A128" t="s">
        <v>367</v>
      </c>
      <c r="B128" t="str">
        <f>"646210"</f>
        <v>646210</v>
      </c>
      <c r="C128" t="s">
        <v>1917</v>
      </c>
      <c r="D128">
        <v>0</v>
      </c>
      <c r="E128">
        <v>0</v>
      </c>
      <c r="F128">
        <v>0</v>
      </c>
      <c r="G128">
        <v>0</v>
      </c>
    </row>
    <row r="129" spans="1:7" x14ac:dyDescent="0.3">
      <c r="A129" t="s">
        <v>367</v>
      </c>
      <c r="B129" t="str">
        <f>"64640"</f>
        <v>64640</v>
      </c>
      <c r="C129" t="s">
        <v>1822</v>
      </c>
      <c r="D129">
        <v>0</v>
      </c>
      <c r="E129">
        <v>0</v>
      </c>
      <c r="F129">
        <v>0</v>
      </c>
      <c r="G129">
        <v>0</v>
      </c>
    </row>
    <row r="130" spans="1:7" x14ac:dyDescent="0.3">
      <c r="A130" t="s">
        <v>367</v>
      </c>
      <c r="B130" t="str">
        <f>"646800"</f>
        <v>646800</v>
      </c>
      <c r="C130" t="s">
        <v>492</v>
      </c>
      <c r="D130">
        <v>0</v>
      </c>
      <c r="E130">
        <v>0</v>
      </c>
      <c r="F130">
        <v>0</v>
      </c>
      <c r="G130">
        <v>0</v>
      </c>
    </row>
    <row r="131" spans="1:7" x14ac:dyDescent="0.3">
      <c r="A131" t="s">
        <v>367</v>
      </c>
      <c r="B131" t="str">
        <f>"646810"</f>
        <v>646810</v>
      </c>
      <c r="C131" t="s">
        <v>1918</v>
      </c>
      <c r="D131">
        <v>0</v>
      </c>
      <c r="E131">
        <v>0</v>
      </c>
      <c r="F131">
        <v>0</v>
      </c>
      <c r="G131">
        <v>0</v>
      </c>
    </row>
    <row r="132" spans="1:7" x14ac:dyDescent="0.3">
      <c r="A132" t="s">
        <v>367</v>
      </c>
      <c r="B132" t="str">
        <f>"647000"</f>
        <v>647000</v>
      </c>
      <c r="C132" t="s">
        <v>1823</v>
      </c>
      <c r="D132">
        <v>0</v>
      </c>
      <c r="E132">
        <v>0</v>
      </c>
      <c r="F132">
        <v>0</v>
      </c>
      <c r="G132">
        <v>0</v>
      </c>
    </row>
    <row r="133" spans="1:7" x14ac:dyDescent="0.3">
      <c r="A133" t="s">
        <v>367</v>
      </c>
      <c r="B133" t="str">
        <f>"656000"</f>
        <v>656000</v>
      </c>
      <c r="C133" t="s">
        <v>496</v>
      </c>
      <c r="D133">
        <v>0</v>
      </c>
      <c r="E133">
        <v>0</v>
      </c>
      <c r="F133">
        <v>0</v>
      </c>
      <c r="G133">
        <v>0</v>
      </c>
    </row>
    <row r="134" spans="1:7" x14ac:dyDescent="0.3">
      <c r="A134" t="s">
        <v>367</v>
      </c>
      <c r="B134" t="str">
        <f>"656100"</f>
        <v>656100</v>
      </c>
      <c r="C134" t="s">
        <v>1919</v>
      </c>
      <c r="D134">
        <v>0</v>
      </c>
      <c r="E134">
        <v>0</v>
      </c>
      <c r="F134">
        <v>0</v>
      </c>
      <c r="G134">
        <v>0</v>
      </c>
    </row>
    <row r="135" spans="1:7" x14ac:dyDescent="0.3">
      <c r="A135" t="s">
        <v>367</v>
      </c>
      <c r="B135" t="str">
        <f>"657000"</f>
        <v>657000</v>
      </c>
      <c r="C135" t="s">
        <v>498</v>
      </c>
      <c r="D135">
        <v>0</v>
      </c>
      <c r="E135">
        <v>0</v>
      </c>
      <c r="F135">
        <v>0</v>
      </c>
      <c r="G135">
        <v>0</v>
      </c>
    </row>
    <row r="136" spans="1:7" x14ac:dyDescent="0.3">
      <c r="A136" t="s">
        <v>367</v>
      </c>
      <c r="B136" t="str">
        <f>"658100"</f>
        <v>658100</v>
      </c>
      <c r="C136" t="s">
        <v>499</v>
      </c>
      <c r="D136">
        <v>0</v>
      </c>
      <c r="E136">
        <v>0</v>
      </c>
      <c r="F136">
        <v>0</v>
      </c>
      <c r="G136">
        <v>0</v>
      </c>
    </row>
    <row r="137" spans="1:7" x14ac:dyDescent="0.3">
      <c r="A137" t="s">
        <v>367</v>
      </c>
      <c r="B137" t="str">
        <f>"658200"</f>
        <v>658200</v>
      </c>
      <c r="C137" t="s">
        <v>500</v>
      </c>
      <c r="D137">
        <v>0</v>
      </c>
      <c r="E137">
        <v>0</v>
      </c>
      <c r="F137">
        <v>0</v>
      </c>
      <c r="G137">
        <v>0</v>
      </c>
    </row>
    <row r="138" spans="1:7" x14ac:dyDescent="0.3">
      <c r="A138" t="s">
        <v>367</v>
      </c>
      <c r="B138" t="str">
        <f>"658800"</f>
        <v>658800</v>
      </c>
      <c r="C138" t="s">
        <v>501</v>
      </c>
      <c r="D138">
        <v>0</v>
      </c>
      <c r="E138">
        <v>0</v>
      </c>
      <c r="F138">
        <v>0</v>
      </c>
      <c r="G138">
        <v>0</v>
      </c>
    </row>
    <row r="139" spans="1:7" x14ac:dyDescent="0.3">
      <c r="A139" t="s">
        <v>367</v>
      </c>
      <c r="B139" t="str">
        <f>"661000"</f>
        <v>661000</v>
      </c>
      <c r="C139" t="s">
        <v>1920</v>
      </c>
      <c r="D139">
        <v>0</v>
      </c>
      <c r="E139">
        <v>0</v>
      </c>
      <c r="F139">
        <v>0</v>
      </c>
      <c r="G139">
        <v>0</v>
      </c>
    </row>
    <row r="140" spans="1:7" x14ac:dyDescent="0.3">
      <c r="A140" t="s">
        <v>367</v>
      </c>
      <c r="B140" t="str">
        <f>"661100"</f>
        <v>661100</v>
      </c>
      <c r="C140" t="s">
        <v>1921</v>
      </c>
      <c r="D140">
        <v>0</v>
      </c>
      <c r="E140">
        <v>0</v>
      </c>
      <c r="F140">
        <v>0</v>
      </c>
      <c r="G140">
        <v>0</v>
      </c>
    </row>
    <row r="141" spans="1:7" x14ac:dyDescent="0.3">
      <c r="A141" t="s">
        <v>367</v>
      </c>
      <c r="B141" t="str">
        <f>"661101"</f>
        <v>661101</v>
      </c>
      <c r="C141" t="s">
        <v>1922</v>
      </c>
      <c r="D141">
        <v>0</v>
      </c>
      <c r="E141">
        <v>0</v>
      </c>
      <c r="F141">
        <v>0</v>
      </c>
      <c r="G141">
        <v>0</v>
      </c>
    </row>
    <row r="142" spans="1:7" x14ac:dyDescent="0.3">
      <c r="A142" t="s">
        <v>367</v>
      </c>
      <c r="B142" t="str">
        <f>"661200"</f>
        <v>661200</v>
      </c>
      <c r="C142" t="s">
        <v>1923</v>
      </c>
      <c r="D142">
        <v>0</v>
      </c>
      <c r="E142">
        <v>0</v>
      </c>
      <c r="F142">
        <v>0</v>
      </c>
      <c r="G142">
        <v>0</v>
      </c>
    </row>
    <row r="143" spans="1:7" x14ac:dyDescent="0.3">
      <c r="A143" t="s">
        <v>367</v>
      </c>
      <c r="B143" t="str">
        <f>"661201"</f>
        <v>661201</v>
      </c>
      <c r="C143" t="s">
        <v>1924</v>
      </c>
      <c r="D143">
        <v>0</v>
      </c>
      <c r="E143">
        <v>0</v>
      </c>
      <c r="F143">
        <v>0</v>
      </c>
      <c r="G143">
        <v>0</v>
      </c>
    </row>
    <row r="144" spans="1:7" x14ac:dyDescent="0.3">
      <c r="A144" t="s">
        <v>367</v>
      </c>
      <c r="B144" t="str">
        <f>"66130000"</f>
        <v>66130000</v>
      </c>
      <c r="C144" t="s">
        <v>1925</v>
      </c>
      <c r="D144">
        <v>0</v>
      </c>
      <c r="E144">
        <v>0</v>
      </c>
      <c r="F144">
        <v>0</v>
      </c>
      <c r="G144">
        <v>0</v>
      </c>
    </row>
    <row r="145" spans="1:7" x14ac:dyDescent="0.3">
      <c r="A145" t="s">
        <v>367</v>
      </c>
      <c r="B145" t="str">
        <f>"661310"</f>
        <v>661310</v>
      </c>
      <c r="C145" t="s">
        <v>1926</v>
      </c>
      <c r="D145">
        <v>0</v>
      </c>
      <c r="E145">
        <v>0</v>
      </c>
      <c r="F145">
        <v>0</v>
      </c>
      <c r="G145">
        <v>0</v>
      </c>
    </row>
    <row r="146" spans="1:7" x14ac:dyDescent="0.3">
      <c r="A146" t="s">
        <v>367</v>
      </c>
      <c r="B146" t="str">
        <f>"661400"</f>
        <v>661400</v>
      </c>
      <c r="C146" t="s">
        <v>1927</v>
      </c>
      <c r="D146">
        <v>0</v>
      </c>
      <c r="E146">
        <v>0</v>
      </c>
      <c r="F146">
        <v>0</v>
      </c>
      <c r="G146">
        <v>0</v>
      </c>
    </row>
    <row r="147" spans="1:7" x14ac:dyDescent="0.3">
      <c r="A147" t="s">
        <v>367</v>
      </c>
      <c r="B147" t="str">
        <f>"661401"</f>
        <v>661401</v>
      </c>
      <c r="C147" t="s">
        <v>1928</v>
      </c>
      <c r="D147">
        <v>0</v>
      </c>
      <c r="E147">
        <v>0</v>
      </c>
      <c r="F147">
        <v>0</v>
      </c>
      <c r="G147">
        <v>0</v>
      </c>
    </row>
    <row r="148" spans="1:7" x14ac:dyDescent="0.3">
      <c r="A148" t="s">
        <v>367</v>
      </c>
      <c r="B148" t="str">
        <f>"661410"</f>
        <v>661410</v>
      </c>
      <c r="C148" t="s">
        <v>1929</v>
      </c>
      <c r="D148">
        <v>0</v>
      </c>
      <c r="E148">
        <v>0</v>
      </c>
      <c r="F148">
        <v>0</v>
      </c>
      <c r="G148">
        <v>0</v>
      </c>
    </row>
    <row r="149" spans="1:7" x14ac:dyDescent="0.3">
      <c r="A149" t="s">
        <v>367</v>
      </c>
      <c r="B149" t="str">
        <f>"661411"</f>
        <v>661411</v>
      </c>
      <c r="C149" t="s">
        <v>1930</v>
      </c>
      <c r="D149">
        <v>0</v>
      </c>
      <c r="E149">
        <v>0</v>
      </c>
      <c r="F149">
        <v>0</v>
      </c>
      <c r="G149">
        <v>0</v>
      </c>
    </row>
    <row r="150" spans="1:7" x14ac:dyDescent="0.3">
      <c r="A150" t="s">
        <v>367</v>
      </c>
      <c r="B150" t="str">
        <f>"661500"</f>
        <v>661500</v>
      </c>
      <c r="C150" t="s">
        <v>1447</v>
      </c>
      <c r="D150">
        <v>0</v>
      </c>
      <c r="E150">
        <v>0</v>
      </c>
      <c r="F150">
        <v>0</v>
      </c>
      <c r="G150">
        <v>0</v>
      </c>
    </row>
    <row r="151" spans="1:7" x14ac:dyDescent="0.3">
      <c r="A151" t="s">
        <v>367</v>
      </c>
      <c r="B151" t="str">
        <f>"661510"</f>
        <v>661510</v>
      </c>
      <c r="C151" t="s">
        <v>1448</v>
      </c>
      <c r="D151">
        <v>0</v>
      </c>
      <c r="E151">
        <v>0</v>
      </c>
      <c r="F151">
        <v>0</v>
      </c>
      <c r="G151">
        <v>0</v>
      </c>
    </row>
    <row r="152" spans="1:7" x14ac:dyDescent="0.3">
      <c r="A152" t="s">
        <v>367</v>
      </c>
      <c r="B152" t="str">
        <f>"661700"</f>
        <v>661700</v>
      </c>
      <c r="C152" t="s">
        <v>1931</v>
      </c>
      <c r="D152">
        <v>0</v>
      </c>
      <c r="E152">
        <v>0</v>
      </c>
      <c r="F152">
        <v>0</v>
      </c>
      <c r="G152">
        <v>0</v>
      </c>
    </row>
    <row r="153" spans="1:7" x14ac:dyDescent="0.3">
      <c r="A153" t="s">
        <v>367</v>
      </c>
      <c r="B153" t="str">
        <f>"661701"</f>
        <v>661701</v>
      </c>
      <c r="C153" t="s">
        <v>1932</v>
      </c>
      <c r="D153">
        <v>0</v>
      </c>
      <c r="E153">
        <v>0</v>
      </c>
      <c r="F153">
        <v>0</v>
      </c>
      <c r="G153">
        <v>0</v>
      </c>
    </row>
    <row r="154" spans="1:7" x14ac:dyDescent="0.3">
      <c r="A154" t="s">
        <v>367</v>
      </c>
      <c r="B154" t="str">
        <f>"662000"</f>
        <v>662000</v>
      </c>
      <c r="C154" t="s">
        <v>1933</v>
      </c>
      <c r="D154">
        <v>0</v>
      </c>
      <c r="E154">
        <v>0</v>
      </c>
      <c r="F154">
        <v>0</v>
      </c>
      <c r="G154">
        <v>0</v>
      </c>
    </row>
    <row r="155" spans="1:7" x14ac:dyDescent="0.3">
      <c r="A155" t="s">
        <v>367</v>
      </c>
      <c r="B155" t="str">
        <f>"663000"</f>
        <v>663000</v>
      </c>
      <c r="C155" t="s">
        <v>1831</v>
      </c>
      <c r="D155">
        <v>0</v>
      </c>
      <c r="E155">
        <v>0</v>
      </c>
      <c r="F155">
        <v>0</v>
      </c>
      <c r="G155">
        <v>0</v>
      </c>
    </row>
    <row r="156" spans="1:7" x14ac:dyDescent="0.3">
      <c r="A156" t="s">
        <v>367</v>
      </c>
      <c r="B156" t="str">
        <f>"663100"</f>
        <v>663100</v>
      </c>
      <c r="C156" t="s">
        <v>1934</v>
      </c>
      <c r="D156">
        <v>0</v>
      </c>
      <c r="E156">
        <v>0</v>
      </c>
      <c r="F156">
        <v>0</v>
      </c>
      <c r="G156">
        <v>0</v>
      </c>
    </row>
    <row r="157" spans="1:7" x14ac:dyDescent="0.3">
      <c r="A157" t="s">
        <v>367</v>
      </c>
      <c r="B157" t="str">
        <f>"663101"</f>
        <v>663101</v>
      </c>
      <c r="C157" t="s">
        <v>511</v>
      </c>
      <c r="D157">
        <v>0</v>
      </c>
      <c r="E157">
        <v>0</v>
      </c>
      <c r="F157">
        <v>0</v>
      </c>
      <c r="G157">
        <v>0</v>
      </c>
    </row>
    <row r="158" spans="1:7" x14ac:dyDescent="0.3">
      <c r="A158" t="s">
        <v>367</v>
      </c>
      <c r="B158" t="str">
        <f>"663200"</f>
        <v>663200</v>
      </c>
      <c r="C158" t="s">
        <v>1832</v>
      </c>
      <c r="D158">
        <v>0</v>
      </c>
      <c r="E158">
        <v>0</v>
      </c>
      <c r="F158">
        <v>0</v>
      </c>
      <c r="G158">
        <v>0</v>
      </c>
    </row>
    <row r="159" spans="1:7" x14ac:dyDescent="0.3">
      <c r="A159" t="s">
        <v>367</v>
      </c>
      <c r="B159" t="str">
        <f>"663201"</f>
        <v>663201</v>
      </c>
      <c r="C159" t="s">
        <v>1935</v>
      </c>
      <c r="D159">
        <v>0</v>
      </c>
      <c r="E159">
        <v>0</v>
      </c>
      <c r="F159">
        <v>0</v>
      </c>
      <c r="G159">
        <v>0</v>
      </c>
    </row>
    <row r="160" spans="1:7" x14ac:dyDescent="0.3">
      <c r="A160" t="s">
        <v>367</v>
      </c>
      <c r="B160" t="str">
        <f>"663300"</f>
        <v>663300</v>
      </c>
      <c r="C160" t="s">
        <v>1936</v>
      </c>
      <c r="D160">
        <v>0</v>
      </c>
      <c r="E160">
        <v>0</v>
      </c>
      <c r="F160">
        <v>0</v>
      </c>
      <c r="G160">
        <v>0</v>
      </c>
    </row>
    <row r="161" spans="1:7" x14ac:dyDescent="0.3">
      <c r="A161" t="s">
        <v>367</v>
      </c>
      <c r="B161" t="str">
        <f>"663302"</f>
        <v>663302</v>
      </c>
      <c r="C161" t="s">
        <v>1937</v>
      </c>
      <c r="D161">
        <v>0</v>
      </c>
      <c r="E161">
        <v>0</v>
      </c>
      <c r="F161">
        <v>0</v>
      </c>
      <c r="G161">
        <v>0</v>
      </c>
    </row>
    <row r="162" spans="1:7" x14ac:dyDescent="0.3">
      <c r="A162" t="s">
        <v>367</v>
      </c>
      <c r="B162" t="str">
        <f>"663400"</f>
        <v>663400</v>
      </c>
      <c r="C162" t="s">
        <v>514</v>
      </c>
      <c r="D162">
        <v>0</v>
      </c>
      <c r="E162">
        <v>0</v>
      </c>
      <c r="F162">
        <v>0</v>
      </c>
      <c r="G162">
        <v>0</v>
      </c>
    </row>
    <row r="163" spans="1:7" x14ac:dyDescent="0.3">
      <c r="A163" t="s">
        <v>367</v>
      </c>
      <c r="B163" t="str">
        <f>"663401"</f>
        <v>663401</v>
      </c>
      <c r="C163" t="s">
        <v>515</v>
      </c>
      <c r="D163">
        <v>0</v>
      </c>
      <c r="E163">
        <v>0</v>
      </c>
      <c r="F163">
        <v>0</v>
      </c>
      <c r="G163">
        <v>0</v>
      </c>
    </row>
    <row r="164" spans="1:7" x14ac:dyDescent="0.3">
      <c r="A164" t="s">
        <v>367</v>
      </c>
      <c r="B164" t="str">
        <f>"663410"</f>
        <v>663410</v>
      </c>
      <c r="C164" t="s">
        <v>1938</v>
      </c>
      <c r="D164">
        <v>0</v>
      </c>
      <c r="E164">
        <v>0</v>
      </c>
      <c r="F164">
        <v>0</v>
      </c>
      <c r="G164">
        <v>0</v>
      </c>
    </row>
    <row r="165" spans="1:7" x14ac:dyDescent="0.3">
      <c r="A165" t="s">
        <v>367</v>
      </c>
      <c r="B165" t="str">
        <f>"663411"</f>
        <v>663411</v>
      </c>
      <c r="C165" t="s">
        <v>1939</v>
      </c>
      <c r="D165">
        <v>0</v>
      </c>
      <c r="E165">
        <v>0</v>
      </c>
      <c r="F165">
        <v>0</v>
      </c>
      <c r="G165">
        <v>0</v>
      </c>
    </row>
    <row r="166" spans="1:7" x14ac:dyDescent="0.3">
      <c r="A166" t="s">
        <v>367</v>
      </c>
      <c r="B166" t="str">
        <f>"663420"</f>
        <v>663420</v>
      </c>
      <c r="C166" t="s">
        <v>1940</v>
      </c>
      <c r="D166">
        <v>0</v>
      </c>
      <c r="E166">
        <v>0</v>
      </c>
      <c r="F166">
        <v>0</v>
      </c>
      <c r="G166">
        <v>0</v>
      </c>
    </row>
    <row r="167" spans="1:7" x14ac:dyDescent="0.3">
      <c r="A167" t="s">
        <v>367</v>
      </c>
      <c r="B167" t="str">
        <f>"663421"</f>
        <v>663421</v>
      </c>
      <c r="C167" t="s">
        <v>1941</v>
      </c>
      <c r="D167">
        <v>0</v>
      </c>
      <c r="E167">
        <v>0</v>
      </c>
      <c r="F167">
        <v>0</v>
      </c>
      <c r="G167">
        <v>0</v>
      </c>
    </row>
    <row r="168" spans="1:7" x14ac:dyDescent="0.3">
      <c r="A168" t="s">
        <v>367</v>
      </c>
      <c r="B168" t="str">
        <f>"663800"</f>
        <v>663800</v>
      </c>
      <c r="C168" t="s">
        <v>1942</v>
      </c>
      <c r="D168">
        <v>0</v>
      </c>
      <c r="E168">
        <v>0</v>
      </c>
      <c r="F168">
        <v>0</v>
      </c>
      <c r="G168">
        <v>0</v>
      </c>
    </row>
    <row r="169" spans="1:7" x14ac:dyDescent="0.3">
      <c r="A169" t="s">
        <v>367</v>
      </c>
      <c r="B169" t="str">
        <f>"663801"</f>
        <v>663801</v>
      </c>
      <c r="C169" t="s">
        <v>1943</v>
      </c>
      <c r="D169">
        <v>0</v>
      </c>
      <c r="E169">
        <v>0</v>
      </c>
      <c r="F169">
        <v>0</v>
      </c>
      <c r="G169">
        <v>0</v>
      </c>
    </row>
    <row r="170" spans="1:7" x14ac:dyDescent="0.3">
      <c r="A170" t="s">
        <v>367</v>
      </c>
      <c r="B170" t="str">
        <f>"663810"</f>
        <v>663810</v>
      </c>
      <c r="C170" t="s">
        <v>1944</v>
      </c>
      <c r="D170">
        <v>0</v>
      </c>
      <c r="E170">
        <v>0</v>
      </c>
      <c r="F170">
        <v>0</v>
      </c>
      <c r="G170">
        <v>0</v>
      </c>
    </row>
    <row r="171" spans="1:7" x14ac:dyDescent="0.3">
      <c r="A171" t="s">
        <v>367</v>
      </c>
      <c r="B171" t="str">
        <f>"663811"</f>
        <v>663811</v>
      </c>
      <c r="C171" t="s">
        <v>1945</v>
      </c>
      <c r="D171">
        <v>0</v>
      </c>
      <c r="E171">
        <v>0</v>
      </c>
      <c r="F171">
        <v>0</v>
      </c>
      <c r="G171">
        <v>0</v>
      </c>
    </row>
    <row r="172" spans="1:7" x14ac:dyDescent="0.3">
      <c r="A172" t="s">
        <v>367</v>
      </c>
      <c r="B172" t="str">
        <f>"663820"</f>
        <v>663820</v>
      </c>
      <c r="C172" t="s">
        <v>1946</v>
      </c>
      <c r="D172">
        <v>0</v>
      </c>
      <c r="E172">
        <v>0</v>
      </c>
      <c r="F172">
        <v>0</v>
      </c>
      <c r="G172">
        <v>0</v>
      </c>
    </row>
    <row r="173" spans="1:7" x14ac:dyDescent="0.3">
      <c r="A173" t="s">
        <v>367</v>
      </c>
      <c r="B173" t="str">
        <f>"663830"</f>
        <v>663830</v>
      </c>
      <c r="C173" t="s">
        <v>1947</v>
      </c>
      <c r="D173">
        <v>0</v>
      </c>
      <c r="E173">
        <v>0</v>
      </c>
      <c r="F173">
        <v>0</v>
      </c>
      <c r="G173">
        <v>0</v>
      </c>
    </row>
    <row r="174" spans="1:7" x14ac:dyDescent="0.3">
      <c r="A174" t="s">
        <v>367</v>
      </c>
      <c r="B174" t="str">
        <f>"663840"</f>
        <v>663840</v>
      </c>
      <c r="C174" t="s">
        <v>1948</v>
      </c>
      <c r="D174">
        <v>0</v>
      </c>
      <c r="E174">
        <v>0</v>
      </c>
      <c r="F174">
        <v>0</v>
      </c>
      <c r="G174">
        <v>0</v>
      </c>
    </row>
    <row r="175" spans="1:7" x14ac:dyDescent="0.3">
      <c r="A175" t="s">
        <v>367</v>
      </c>
      <c r="B175" t="str">
        <f>"663888"</f>
        <v>663888</v>
      </c>
      <c r="C175" t="s">
        <v>1949</v>
      </c>
      <c r="D175">
        <v>0</v>
      </c>
      <c r="E175">
        <v>0</v>
      </c>
      <c r="F175">
        <v>0</v>
      </c>
      <c r="G175">
        <v>0</v>
      </c>
    </row>
    <row r="176" spans="1:7" x14ac:dyDescent="0.3">
      <c r="A176" t="s">
        <v>367</v>
      </c>
      <c r="B176" t="str">
        <f>"664100"</f>
        <v>664100</v>
      </c>
      <c r="C176" t="s">
        <v>1834</v>
      </c>
      <c r="D176">
        <v>0</v>
      </c>
      <c r="E176">
        <v>0</v>
      </c>
      <c r="F176">
        <v>0</v>
      </c>
      <c r="G176">
        <v>0</v>
      </c>
    </row>
    <row r="177" spans="1:7" x14ac:dyDescent="0.3">
      <c r="A177" t="s">
        <v>367</v>
      </c>
      <c r="B177" t="str">
        <f>"664200"</f>
        <v>664200</v>
      </c>
      <c r="C177" t="s">
        <v>1950</v>
      </c>
      <c r="D177">
        <v>0</v>
      </c>
      <c r="E177">
        <v>0</v>
      </c>
      <c r="F177">
        <v>0</v>
      </c>
      <c r="G177">
        <v>0</v>
      </c>
    </row>
    <row r="178" spans="1:7" x14ac:dyDescent="0.3">
      <c r="A178" t="s">
        <v>367</v>
      </c>
      <c r="B178" t="str">
        <f>"668100"</f>
        <v>668100</v>
      </c>
      <c r="C178" t="s">
        <v>521</v>
      </c>
      <c r="D178">
        <v>0</v>
      </c>
      <c r="E178">
        <v>0</v>
      </c>
      <c r="F178">
        <v>0</v>
      </c>
      <c r="G178">
        <v>0</v>
      </c>
    </row>
    <row r="179" spans="1:7" x14ac:dyDescent="0.3">
      <c r="A179" t="s">
        <v>367</v>
      </c>
      <c r="B179" t="str">
        <f>"668200"</f>
        <v>668200</v>
      </c>
      <c r="C179" t="s">
        <v>1456</v>
      </c>
      <c r="D179">
        <v>0</v>
      </c>
      <c r="E179">
        <v>0</v>
      </c>
      <c r="F179">
        <v>0</v>
      </c>
      <c r="G179">
        <v>0</v>
      </c>
    </row>
    <row r="180" spans="1:7" x14ac:dyDescent="0.3">
      <c r="A180" t="s">
        <v>367</v>
      </c>
      <c r="B180" t="str">
        <f>"6683000"</f>
        <v>6683000</v>
      </c>
      <c r="C180" t="s">
        <v>1951</v>
      </c>
      <c r="D180">
        <v>0</v>
      </c>
      <c r="E180">
        <v>0</v>
      </c>
      <c r="F180">
        <v>0</v>
      </c>
      <c r="G180">
        <v>0</v>
      </c>
    </row>
    <row r="181" spans="1:7" x14ac:dyDescent="0.3">
      <c r="A181" t="s">
        <v>367</v>
      </c>
      <c r="B181" t="str">
        <f>"668500"</f>
        <v>668500</v>
      </c>
      <c r="C181" t="s">
        <v>524</v>
      </c>
      <c r="D181">
        <v>0</v>
      </c>
      <c r="E181">
        <v>0</v>
      </c>
      <c r="F181">
        <v>0</v>
      </c>
      <c r="G181">
        <v>0</v>
      </c>
    </row>
    <row r="182" spans="1:7" x14ac:dyDescent="0.3">
      <c r="A182" t="s">
        <v>367</v>
      </c>
      <c r="B182" t="str">
        <f>"673000"</f>
        <v>673000</v>
      </c>
      <c r="C182" t="s">
        <v>648</v>
      </c>
      <c r="D182">
        <v>0</v>
      </c>
      <c r="E182">
        <v>0</v>
      </c>
      <c r="F182">
        <v>0</v>
      </c>
      <c r="G182">
        <v>0</v>
      </c>
    </row>
    <row r="183" spans="1:7" x14ac:dyDescent="0.3">
      <c r="A183" t="s">
        <v>367</v>
      </c>
      <c r="B183" t="str">
        <f>"681300"</f>
        <v>681300</v>
      </c>
      <c r="C183" t="s">
        <v>526</v>
      </c>
      <c r="D183">
        <v>0</v>
      </c>
      <c r="E183">
        <v>0</v>
      </c>
      <c r="F183">
        <v>0</v>
      </c>
      <c r="G183">
        <v>0</v>
      </c>
    </row>
    <row r="184" spans="1:7" x14ac:dyDescent="0.3">
      <c r="A184" t="s">
        <v>367</v>
      </c>
      <c r="B184" t="str">
        <f>"706000"</f>
        <v>706000</v>
      </c>
      <c r="C184" t="s">
        <v>1952</v>
      </c>
      <c r="D184">
        <v>0</v>
      </c>
      <c r="E184">
        <v>0</v>
      </c>
      <c r="F184">
        <v>0</v>
      </c>
      <c r="G184">
        <v>0</v>
      </c>
    </row>
    <row r="185" spans="1:7" x14ac:dyDescent="0.3">
      <c r="A185" t="s">
        <v>367</v>
      </c>
      <c r="B185" t="str">
        <f>"706001"</f>
        <v>706001</v>
      </c>
      <c r="C185" t="s">
        <v>529</v>
      </c>
      <c r="D185">
        <v>0</v>
      </c>
      <c r="E185">
        <v>0</v>
      </c>
      <c r="F185">
        <v>0</v>
      </c>
      <c r="G185">
        <v>0</v>
      </c>
    </row>
    <row r="186" spans="1:7" x14ac:dyDescent="0.3">
      <c r="A186" t="s">
        <v>367</v>
      </c>
      <c r="B186" t="str">
        <f>"706010"</f>
        <v>706010</v>
      </c>
      <c r="C186" t="s">
        <v>1953</v>
      </c>
      <c r="D186">
        <v>0</v>
      </c>
      <c r="E186">
        <v>0</v>
      </c>
      <c r="F186">
        <v>0</v>
      </c>
      <c r="G186">
        <v>0</v>
      </c>
    </row>
    <row r="187" spans="1:7" x14ac:dyDescent="0.3">
      <c r="A187" t="s">
        <v>367</v>
      </c>
      <c r="B187" t="str">
        <f>"706020"</f>
        <v>706020</v>
      </c>
      <c r="C187" t="s">
        <v>1469</v>
      </c>
      <c r="D187">
        <v>0</v>
      </c>
      <c r="E187">
        <v>0</v>
      </c>
      <c r="F187">
        <v>0</v>
      </c>
      <c r="G187">
        <v>0</v>
      </c>
    </row>
    <row r="188" spans="1:7" x14ac:dyDescent="0.3">
      <c r="A188" t="s">
        <v>367</v>
      </c>
      <c r="B188" t="str">
        <f>"706021"</f>
        <v>706021</v>
      </c>
      <c r="C188" t="s">
        <v>1954</v>
      </c>
      <c r="D188">
        <v>0</v>
      </c>
      <c r="E188">
        <v>0</v>
      </c>
      <c r="F188">
        <v>0</v>
      </c>
      <c r="G188">
        <v>0</v>
      </c>
    </row>
    <row r="189" spans="1:7" x14ac:dyDescent="0.3">
      <c r="A189" t="s">
        <v>367</v>
      </c>
      <c r="B189" t="str">
        <f>"706030"</f>
        <v>706030</v>
      </c>
      <c r="C189" t="s">
        <v>1844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 t="s">
        <v>367</v>
      </c>
      <c r="B190" t="str">
        <f>"706040"</f>
        <v>706040</v>
      </c>
      <c r="C190" t="s">
        <v>1845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 t="s">
        <v>367</v>
      </c>
      <c r="B191" t="str">
        <f>"706050"</f>
        <v>706050</v>
      </c>
      <c r="C191" t="s">
        <v>537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 t="s">
        <v>367</v>
      </c>
      <c r="B192" t="str">
        <f>"706060"</f>
        <v>706060</v>
      </c>
      <c r="C192" t="s">
        <v>1955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 t="s">
        <v>367</v>
      </c>
      <c r="B193" t="str">
        <f>"706070"</f>
        <v>706070</v>
      </c>
      <c r="C193" t="s">
        <v>1847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 t="s">
        <v>367</v>
      </c>
      <c r="B194" t="str">
        <f>"706080"</f>
        <v>706080</v>
      </c>
      <c r="C194" t="s">
        <v>1956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 t="s">
        <v>367</v>
      </c>
      <c r="B195" t="str">
        <f>"706090"</f>
        <v>706090</v>
      </c>
      <c r="C195" t="s">
        <v>1957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 t="s">
        <v>428</v>
      </c>
      <c r="B196" t="str">
        <f>"7060"</f>
        <v>7060</v>
      </c>
      <c r="C196" t="s">
        <v>1958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 t="s">
        <v>367</v>
      </c>
      <c r="B197" t="str">
        <f>"707000"</f>
        <v>707000</v>
      </c>
      <c r="C197" t="s">
        <v>544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 t="s">
        <v>367</v>
      </c>
      <c r="B198" t="str">
        <f>"756000"</f>
        <v>756000</v>
      </c>
      <c r="C198" t="s">
        <v>546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 t="s">
        <v>367</v>
      </c>
      <c r="B199" t="str">
        <f>"778000"</f>
        <v>778000</v>
      </c>
      <c r="C199" t="s">
        <v>1849</v>
      </c>
      <c r="D199">
        <v>0</v>
      </c>
      <c r="E199">
        <v>0</v>
      </c>
      <c r="F199">
        <v>0</v>
      </c>
      <c r="G199">
        <v>0</v>
      </c>
    </row>
    <row r="200" spans="1:7" x14ac:dyDescent="0.3">
      <c r="A200" t="s">
        <v>367</v>
      </c>
      <c r="B200" t="str">
        <f>"781000"</f>
        <v>781000</v>
      </c>
      <c r="C200" t="s">
        <v>548</v>
      </c>
      <c r="D200">
        <v>0</v>
      </c>
      <c r="E200">
        <v>0</v>
      </c>
      <c r="F200">
        <v>0</v>
      </c>
      <c r="G200">
        <v>0</v>
      </c>
    </row>
    <row r="201" spans="1:7" x14ac:dyDescent="0.3">
      <c r="A201" t="s">
        <v>367</v>
      </c>
      <c r="B201" t="str">
        <f>"781100"</f>
        <v>781100</v>
      </c>
      <c r="C201" t="s">
        <v>549</v>
      </c>
      <c r="D201">
        <v>0</v>
      </c>
      <c r="E201">
        <v>0</v>
      </c>
      <c r="F201">
        <v>0</v>
      </c>
      <c r="G201">
        <v>0</v>
      </c>
    </row>
    <row r="202" spans="1:7" x14ac:dyDescent="0.3">
      <c r="A202" t="s">
        <v>367</v>
      </c>
      <c r="B202" t="str">
        <f>"781200"</f>
        <v>781200</v>
      </c>
      <c r="C202" t="s">
        <v>550</v>
      </c>
      <c r="D202">
        <v>0</v>
      </c>
      <c r="E202">
        <v>0</v>
      </c>
      <c r="F202">
        <v>0</v>
      </c>
      <c r="G202">
        <v>0</v>
      </c>
    </row>
    <row r="203" spans="1:7" x14ac:dyDescent="0.3">
      <c r="A203" t="s">
        <v>367</v>
      </c>
      <c r="B203" t="str">
        <f>"781210"</f>
        <v>781210</v>
      </c>
      <c r="C203" t="s">
        <v>1851</v>
      </c>
      <c r="D203">
        <v>0</v>
      </c>
      <c r="E203">
        <v>0</v>
      </c>
      <c r="F203">
        <v>0</v>
      </c>
      <c r="G203">
        <v>0</v>
      </c>
    </row>
    <row r="204" spans="1:7" x14ac:dyDescent="0.3">
      <c r="A204" t="s">
        <v>367</v>
      </c>
      <c r="B204" t="str">
        <f>"781300"</f>
        <v>781300</v>
      </c>
      <c r="C204" t="s">
        <v>553</v>
      </c>
      <c r="D204">
        <v>0</v>
      </c>
      <c r="E204">
        <v>0</v>
      </c>
      <c r="F204">
        <v>0</v>
      </c>
      <c r="G204">
        <v>0</v>
      </c>
    </row>
    <row r="205" spans="1:7" x14ac:dyDescent="0.3">
      <c r="A205" t="s">
        <v>367</v>
      </c>
      <c r="B205" t="str">
        <f>"781400"</f>
        <v>781400</v>
      </c>
      <c r="C205" t="s">
        <v>1853</v>
      </c>
      <c r="D205">
        <v>0</v>
      </c>
      <c r="E205">
        <v>0</v>
      </c>
      <c r="F205">
        <v>0</v>
      </c>
      <c r="G205">
        <v>0</v>
      </c>
    </row>
    <row r="206" spans="1:7" x14ac:dyDescent="0.3">
      <c r="A206" t="s">
        <v>367</v>
      </c>
      <c r="B206" t="str">
        <f>"781500"</f>
        <v>781500</v>
      </c>
      <c r="C206" t="s">
        <v>1478</v>
      </c>
      <c r="D206">
        <v>0</v>
      </c>
      <c r="E206">
        <v>0</v>
      </c>
      <c r="F206">
        <v>0</v>
      </c>
      <c r="G206">
        <v>0</v>
      </c>
    </row>
    <row r="207" spans="1:7" x14ac:dyDescent="0.3">
      <c r="A207" t="s">
        <v>367</v>
      </c>
      <c r="B207" t="str">
        <f>"891000"</f>
        <v>891000</v>
      </c>
      <c r="C207" t="s">
        <v>399</v>
      </c>
      <c r="D207">
        <v>0</v>
      </c>
      <c r="E207">
        <v>0</v>
      </c>
      <c r="F207">
        <v>0</v>
      </c>
      <c r="G207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3336-37DD-4D16-A2EC-4882E1D0ADC7}">
  <dimension ref="A1:F31"/>
  <sheetViews>
    <sheetView topLeftCell="A6" workbookViewId="0">
      <selection activeCell="A23" sqref="A23:F31"/>
    </sheetView>
  </sheetViews>
  <sheetFormatPr defaultRowHeight="15.6" x14ac:dyDescent="0.3"/>
  <cols>
    <col min="3" max="3" width="33.36328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1959</v>
      </c>
      <c r="C2" t="s">
        <v>1960</v>
      </c>
      <c r="D2">
        <v>0</v>
      </c>
      <c r="E2">
        <v>0</v>
      </c>
      <c r="F2">
        <v>0</v>
      </c>
    </row>
    <row r="3" spans="1:6" x14ac:dyDescent="0.3">
      <c r="A3" t="s">
        <v>6</v>
      </c>
      <c r="B3" t="s">
        <v>1961</v>
      </c>
      <c r="C3" t="s">
        <v>1137</v>
      </c>
      <c r="D3">
        <v>0</v>
      </c>
      <c r="E3">
        <v>0</v>
      </c>
      <c r="F3">
        <v>0</v>
      </c>
    </row>
    <row r="4" spans="1:6" x14ac:dyDescent="0.3">
      <c r="A4" t="s">
        <v>6</v>
      </c>
      <c r="B4" t="s">
        <v>7</v>
      </c>
      <c r="C4" t="s">
        <v>1962</v>
      </c>
      <c r="D4">
        <v>0</v>
      </c>
      <c r="E4">
        <v>0</v>
      </c>
      <c r="F4">
        <v>0</v>
      </c>
    </row>
    <row r="5" spans="1:6" x14ac:dyDescent="0.3">
      <c r="A5" t="s">
        <v>6</v>
      </c>
      <c r="B5" t="s">
        <v>9</v>
      </c>
      <c r="C5" t="s">
        <v>66</v>
      </c>
      <c r="D5">
        <v>0</v>
      </c>
      <c r="E5">
        <v>0</v>
      </c>
      <c r="F5">
        <v>0</v>
      </c>
    </row>
    <row r="6" spans="1:6" x14ac:dyDescent="0.3">
      <c r="A6" t="s">
        <v>6</v>
      </c>
      <c r="B6" t="s">
        <v>11</v>
      </c>
      <c r="C6" t="s">
        <v>1963</v>
      </c>
      <c r="D6">
        <v>0</v>
      </c>
      <c r="E6">
        <v>0</v>
      </c>
      <c r="F6">
        <v>0</v>
      </c>
    </row>
    <row r="7" spans="1:6" x14ac:dyDescent="0.3">
      <c r="A7" t="s">
        <v>6</v>
      </c>
      <c r="B7" t="s">
        <v>13</v>
      </c>
      <c r="C7" t="s">
        <v>1964</v>
      </c>
      <c r="D7">
        <v>0</v>
      </c>
      <c r="E7">
        <v>0</v>
      </c>
      <c r="F7">
        <v>0</v>
      </c>
    </row>
    <row r="8" spans="1:6" x14ac:dyDescent="0.3">
      <c r="A8" t="s">
        <v>6</v>
      </c>
      <c r="B8" t="s">
        <v>15</v>
      </c>
      <c r="C8" t="s">
        <v>8</v>
      </c>
      <c r="D8">
        <v>0</v>
      </c>
      <c r="E8">
        <v>0</v>
      </c>
      <c r="F8">
        <v>0</v>
      </c>
    </row>
    <row r="9" spans="1:6" x14ac:dyDescent="0.3">
      <c r="A9" t="s">
        <v>6</v>
      </c>
      <c r="B9" t="s">
        <v>17</v>
      </c>
      <c r="C9" t="s">
        <v>1965</v>
      </c>
      <c r="D9">
        <v>0</v>
      </c>
      <c r="E9">
        <v>0</v>
      </c>
      <c r="F9">
        <v>0</v>
      </c>
    </row>
    <row r="10" spans="1:6" x14ac:dyDescent="0.3">
      <c r="A10" t="s">
        <v>6</v>
      </c>
      <c r="B10" t="s">
        <v>19</v>
      </c>
      <c r="C10" t="s">
        <v>1966</v>
      </c>
      <c r="D10">
        <v>0</v>
      </c>
      <c r="E10">
        <v>0</v>
      </c>
      <c r="F10">
        <v>0</v>
      </c>
    </row>
    <row r="11" spans="1:6" x14ac:dyDescent="0.3">
      <c r="A11" t="s">
        <v>6</v>
      </c>
      <c r="B11" t="s">
        <v>21</v>
      </c>
      <c r="C11" t="s">
        <v>200</v>
      </c>
      <c r="D11">
        <v>0</v>
      </c>
      <c r="E11">
        <v>0</v>
      </c>
      <c r="F11">
        <v>0</v>
      </c>
    </row>
    <row r="12" spans="1:6" x14ac:dyDescent="0.3">
      <c r="A12" t="s">
        <v>6</v>
      </c>
      <c r="B12" t="s">
        <v>23</v>
      </c>
      <c r="C12" t="s">
        <v>1967</v>
      </c>
      <c r="D12">
        <v>0</v>
      </c>
      <c r="E12">
        <v>0</v>
      </c>
      <c r="F12">
        <v>0</v>
      </c>
    </row>
    <row r="13" spans="1:6" x14ac:dyDescent="0.3">
      <c r="A13" t="s">
        <v>6</v>
      </c>
      <c r="B13" t="s">
        <v>25</v>
      </c>
      <c r="C13" t="s">
        <v>1968</v>
      </c>
      <c r="D13">
        <v>0</v>
      </c>
      <c r="E13">
        <v>0</v>
      </c>
      <c r="F13">
        <v>0</v>
      </c>
    </row>
    <row r="14" spans="1:6" x14ac:dyDescent="0.3">
      <c r="A14" t="s">
        <v>6</v>
      </c>
      <c r="B14" t="s">
        <v>27</v>
      </c>
      <c r="C14" t="s">
        <v>1969</v>
      </c>
      <c r="D14">
        <v>0</v>
      </c>
      <c r="E14">
        <v>0</v>
      </c>
      <c r="F14">
        <v>0</v>
      </c>
    </row>
    <row r="15" spans="1:6" x14ac:dyDescent="0.3">
      <c r="A15" t="s">
        <v>6</v>
      </c>
      <c r="B15" t="s">
        <v>29</v>
      </c>
      <c r="C15" t="s">
        <v>1970</v>
      </c>
      <c r="D15">
        <v>0</v>
      </c>
      <c r="E15">
        <v>0</v>
      </c>
      <c r="F15">
        <v>0</v>
      </c>
    </row>
    <row r="16" spans="1:6" x14ac:dyDescent="0.3">
      <c r="A16" t="s">
        <v>6</v>
      </c>
      <c r="B16" t="s">
        <v>31</v>
      </c>
      <c r="C16" t="s">
        <v>102</v>
      </c>
      <c r="D16">
        <v>0</v>
      </c>
      <c r="E16">
        <v>0</v>
      </c>
      <c r="F16">
        <v>0</v>
      </c>
    </row>
    <row r="17" spans="1:6" x14ac:dyDescent="0.3">
      <c r="A17" t="s">
        <v>6</v>
      </c>
      <c r="B17" t="s">
        <v>33</v>
      </c>
      <c r="C17" t="s">
        <v>1971</v>
      </c>
      <c r="D17">
        <v>0</v>
      </c>
      <c r="E17">
        <v>0</v>
      </c>
      <c r="F17">
        <v>0</v>
      </c>
    </row>
    <row r="18" spans="1:6" x14ac:dyDescent="0.3">
      <c r="A18" t="s">
        <v>6</v>
      </c>
      <c r="B18" t="s">
        <v>35</v>
      </c>
      <c r="C18" t="s">
        <v>1972</v>
      </c>
      <c r="D18">
        <v>0</v>
      </c>
      <c r="E18">
        <v>0</v>
      </c>
      <c r="F18">
        <v>0</v>
      </c>
    </row>
    <row r="19" spans="1:6" x14ac:dyDescent="0.3">
      <c r="A19" t="s">
        <v>6</v>
      </c>
      <c r="B19" t="s">
        <v>37</v>
      </c>
      <c r="C19" t="s">
        <v>1973</v>
      </c>
      <c r="D19">
        <v>0</v>
      </c>
      <c r="E19">
        <v>0</v>
      </c>
      <c r="F19">
        <v>0</v>
      </c>
    </row>
    <row r="20" spans="1:6" x14ac:dyDescent="0.3">
      <c r="A20" t="s">
        <v>6</v>
      </c>
      <c r="B20" t="s">
        <v>39</v>
      </c>
      <c r="C20" t="s">
        <v>1974</v>
      </c>
      <c r="D20">
        <v>0</v>
      </c>
      <c r="E20">
        <v>0</v>
      </c>
      <c r="F20">
        <v>0</v>
      </c>
    </row>
    <row r="21" spans="1:6" x14ac:dyDescent="0.3">
      <c r="A21" t="s">
        <v>6</v>
      </c>
      <c r="B21" t="s">
        <v>41</v>
      </c>
      <c r="C21" t="s">
        <v>1975</v>
      </c>
      <c r="D21">
        <v>0</v>
      </c>
      <c r="E21">
        <v>0</v>
      </c>
      <c r="F21">
        <v>0</v>
      </c>
    </row>
    <row r="23" spans="1:6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</row>
    <row r="24" spans="1:6" x14ac:dyDescent="0.3">
      <c r="A24" t="s">
        <v>318</v>
      </c>
      <c r="B24" t="s">
        <v>319</v>
      </c>
      <c r="C24" t="s">
        <v>320</v>
      </c>
      <c r="D24">
        <v>0</v>
      </c>
      <c r="E24">
        <v>0</v>
      </c>
      <c r="F24">
        <v>0</v>
      </c>
    </row>
    <row r="25" spans="1:6" x14ac:dyDescent="0.3">
      <c r="A25" t="s">
        <v>318</v>
      </c>
      <c r="B25" t="s">
        <v>321</v>
      </c>
      <c r="C25" t="s">
        <v>594</v>
      </c>
      <c r="D25">
        <v>0</v>
      </c>
      <c r="E25">
        <v>0</v>
      </c>
      <c r="F25">
        <v>0</v>
      </c>
    </row>
    <row r="26" spans="1:6" x14ac:dyDescent="0.3">
      <c r="A26" t="s">
        <v>318</v>
      </c>
      <c r="B26" t="s">
        <v>323</v>
      </c>
      <c r="C26" t="s">
        <v>324</v>
      </c>
      <c r="D26">
        <v>0</v>
      </c>
      <c r="E26">
        <v>0</v>
      </c>
      <c r="F26">
        <v>0</v>
      </c>
    </row>
    <row r="27" spans="1:6" x14ac:dyDescent="0.3">
      <c r="A27" t="s">
        <v>318</v>
      </c>
      <c r="B27" t="s">
        <v>325</v>
      </c>
      <c r="C27" t="s">
        <v>326</v>
      </c>
      <c r="D27">
        <v>0</v>
      </c>
      <c r="E27">
        <v>0</v>
      </c>
      <c r="F27">
        <v>0</v>
      </c>
    </row>
    <row r="28" spans="1:6" x14ac:dyDescent="0.3">
      <c r="A28" t="s">
        <v>318</v>
      </c>
      <c r="B28" t="s">
        <v>329</v>
      </c>
      <c r="C28" t="s">
        <v>330</v>
      </c>
      <c r="D28">
        <v>0</v>
      </c>
      <c r="E28">
        <v>0</v>
      </c>
      <c r="F28">
        <v>0</v>
      </c>
    </row>
    <row r="29" spans="1:6" x14ac:dyDescent="0.3">
      <c r="A29" t="s">
        <v>318</v>
      </c>
      <c r="B29" t="s">
        <v>331</v>
      </c>
      <c r="C29" t="s">
        <v>332</v>
      </c>
      <c r="D29">
        <v>0</v>
      </c>
      <c r="E29">
        <v>0</v>
      </c>
      <c r="F29">
        <v>0</v>
      </c>
    </row>
    <row r="30" spans="1:6" x14ac:dyDescent="0.3">
      <c r="A30" t="s">
        <v>318</v>
      </c>
      <c r="B30" t="s">
        <v>333</v>
      </c>
      <c r="C30" t="s">
        <v>334</v>
      </c>
      <c r="D30">
        <v>0</v>
      </c>
      <c r="E30">
        <v>0</v>
      </c>
      <c r="F30">
        <v>0</v>
      </c>
    </row>
    <row r="31" spans="1:6" x14ac:dyDescent="0.3">
      <c r="A31" t="s">
        <v>318</v>
      </c>
      <c r="B31" t="s">
        <v>335</v>
      </c>
      <c r="C31" t="s">
        <v>1051</v>
      </c>
      <c r="D31">
        <v>0</v>
      </c>
      <c r="E31">
        <v>0</v>
      </c>
      <c r="F3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59D0-E9DD-4996-8C82-5115F5D9589C}">
  <dimension ref="A1:C4"/>
  <sheetViews>
    <sheetView workbookViewId="0">
      <selection activeCell="D12" sqref="D12"/>
    </sheetView>
  </sheetViews>
  <sheetFormatPr defaultRowHeight="15.6" x14ac:dyDescent="0.3"/>
  <sheetData>
    <row r="1" spans="1:3" x14ac:dyDescent="0.3">
      <c r="A1" t="s">
        <v>0</v>
      </c>
      <c r="B1" t="s">
        <v>337</v>
      </c>
      <c r="C1" t="s">
        <v>338</v>
      </c>
    </row>
    <row r="2" spans="1:3" x14ac:dyDescent="0.3">
      <c r="A2" t="s">
        <v>342</v>
      </c>
      <c r="B2" t="s">
        <v>359</v>
      </c>
      <c r="C2" t="s">
        <v>360</v>
      </c>
    </row>
    <row r="3" spans="1:3" x14ac:dyDescent="0.3">
      <c r="A3" t="s">
        <v>345</v>
      </c>
      <c r="B3" t="s">
        <v>595</v>
      </c>
      <c r="C3" t="s">
        <v>1976</v>
      </c>
    </row>
    <row r="4" spans="1:3" x14ac:dyDescent="0.3">
      <c r="A4" t="s">
        <v>339</v>
      </c>
      <c r="B4" t="s">
        <v>1977</v>
      </c>
      <c r="C4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supplier auxiliary - INTELHRC </vt:lpstr>
      <vt:lpstr>inter CO - INTEL HRC </vt:lpstr>
      <vt:lpstr>Journal codes INTEL HRC </vt:lpstr>
      <vt:lpstr>supplier auxiliary - BURKINA </vt:lpstr>
      <vt:lpstr>JOURNAL CODES BURKINA</vt:lpstr>
      <vt:lpstr>CHART OF ACCOUNTS - BF </vt:lpstr>
      <vt:lpstr>SUPPLIER AUXILIARY -IOS CMR  </vt:lpstr>
      <vt:lpstr>JOURNAL CODES - IOS CMR  </vt:lpstr>
      <vt:lpstr>CHART OF ACCOUNTS IOS CMR </vt:lpstr>
      <vt:lpstr>SUPPLIER AUXILIARY - SEN </vt:lpstr>
      <vt:lpstr>CHART OF ACCOUNTS - SEN </vt:lpstr>
      <vt:lpstr>JOURNAL CODES - SEN </vt:lpstr>
      <vt:lpstr>SUPPLIER AUXILIARY - RDC</vt:lpstr>
      <vt:lpstr>CHART OF ACCOUNTS  RDC</vt:lpstr>
      <vt:lpstr>JOURNAL CODES - RDC</vt:lpstr>
      <vt:lpstr>CHART OF ACCOUNTS CIV </vt:lpstr>
      <vt:lpstr>SUPPLIER AUXILIARY CIV </vt:lpstr>
      <vt:lpstr>JOURNAL CODE CIV </vt:lpstr>
      <vt:lpstr>CHART OF ACCOUNTS - NIGER </vt:lpstr>
      <vt:lpstr>SUPPLIER AUXILIARY - NIGER </vt:lpstr>
      <vt:lpstr>JOURNAL CODES - NIGER </vt:lpstr>
      <vt:lpstr>CHART OF ACCOUNTS - MALI </vt:lpstr>
      <vt:lpstr>SUPPLIER AUXILIARY - MALI </vt:lpstr>
      <vt:lpstr>JOURNAL CODES - 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Enanga</dc:creator>
  <cp:lastModifiedBy>Tina Enanga</cp:lastModifiedBy>
  <dcterms:created xsi:type="dcterms:W3CDTF">2026-06-20T10:46:23Z</dcterms:created>
  <dcterms:modified xsi:type="dcterms:W3CDTF">2026-06-20T11:37:42Z</dcterms:modified>
</cp:coreProperties>
</file>