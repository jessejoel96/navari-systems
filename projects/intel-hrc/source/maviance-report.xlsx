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hrc1-my.sharepoint.com/personal/t_enanga_inteloutsourcingservices_com/Documents/Desktop/AP WORK TOOLS/"/>
    </mc:Choice>
  </mc:AlternateContent>
  <xr:revisionPtr revIDLastSave="478" documentId="8_{89EED52F-9006-4022-8A94-B9DB19543324}" xr6:coauthVersionLast="47" xr6:coauthVersionMax="47" xr10:uidLastSave="{294D0446-60E8-468C-B7DD-97111202B0A2}"/>
  <bookViews>
    <workbookView xWindow="-108" yWindow="-108" windowWidth="23256" windowHeight="12456" firstSheet="2" activeTab="8" xr2:uid="{D7F2E7EC-7FAC-4EE0-8987-BB0A6F7BC561}"/>
  </bookViews>
  <sheets>
    <sheet name="JUNE 26" sheetId="1" r:id="rId1"/>
    <sheet name="11-06-2026" sheetId="3" r:id="rId2"/>
    <sheet name="12-06-2026" sheetId="5" r:id="rId3"/>
    <sheet name="13-06-2026" sheetId="6" r:id="rId4"/>
    <sheet name="14-06-2026" sheetId="7" r:id="rId5"/>
    <sheet name="15-06-2026" sheetId="4" r:id="rId6"/>
    <sheet name="16-06-2026" sheetId="8" r:id="rId7"/>
    <sheet name="17-06-2026" sheetId="2" r:id="rId8"/>
    <sheet name="19-06-2026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9" l="1"/>
  <c r="I20" i="9"/>
  <c r="I21" i="9"/>
  <c r="I22" i="9"/>
  <c r="I23" i="9"/>
  <c r="I24" i="9"/>
  <c r="I25" i="9"/>
  <c r="I26" i="9"/>
  <c r="I27" i="9"/>
  <c r="B5" i="9"/>
  <c r="D35" i="9" l="1"/>
  <c r="D34" i="9"/>
  <c r="D31" i="9"/>
  <c r="I28" i="9"/>
  <c r="D33" i="9" s="1"/>
  <c r="F28" i="9"/>
  <c r="D32" i="9" s="1"/>
  <c r="I18" i="9"/>
  <c r="I17" i="9"/>
  <c r="I16" i="9"/>
  <c r="I15" i="9"/>
  <c r="I14" i="9"/>
  <c r="I13" i="9"/>
  <c r="I12" i="9"/>
  <c r="I11" i="9"/>
  <c r="I10" i="9"/>
  <c r="I9" i="9"/>
  <c r="I8" i="9"/>
  <c r="I26" i="3"/>
  <c r="D31" i="3" s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8" i="8"/>
  <c r="I9" i="8"/>
  <c r="I10" i="8"/>
  <c r="I11" i="8"/>
  <c r="I28" i="8" s="1"/>
  <c r="D33" i="8" s="1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D35" i="8"/>
  <c r="D34" i="8"/>
  <c r="F28" i="8"/>
  <c r="D32" i="8" s="1"/>
  <c r="D35" i="7"/>
  <c r="D34" i="7"/>
  <c r="I28" i="7"/>
  <c r="D33" i="7" s="1"/>
  <c r="F28" i="7"/>
  <c r="D32" i="7" s="1"/>
  <c r="D35" i="6"/>
  <c r="D34" i="6"/>
  <c r="D32" i="6"/>
  <c r="I28" i="6"/>
  <c r="D33" i="6" s="1"/>
  <c r="F28" i="6"/>
  <c r="D35" i="5"/>
  <c r="D34" i="5"/>
  <c r="F28" i="5"/>
  <c r="D32" i="5" s="1"/>
  <c r="D29" i="3"/>
  <c r="D30" i="4"/>
  <c r="D29" i="4"/>
  <c r="F23" i="4"/>
  <c r="D27" i="4" s="1"/>
  <c r="I23" i="4"/>
  <c r="D28" i="4" s="1"/>
  <c r="D33" i="3"/>
  <c r="D32" i="3"/>
  <c r="F26" i="3"/>
  <c r="D30" i="3" s="1"/>
  <c r="D35" i="2"/>
  <c r="D34" i="2"/>
  <c r="F28" i="2"/>
  <c r="D32" i="2" s="1"/>
  <c r="I28" i="2"/>
  <c r="D33" i="2" s="1"/>
  <c r="D34" i="1"/>
  <c r="D35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F11" i="1"/>
  <c r="F28" i="1"/>
  <c r="D32" i="1" s="1"/>
  <c r="D36" i="9" l="1"/>
  <c r="I28" i="5"/>
  <c r="D33" i="5" s="1"/>
  <c r="D34" i="3"/>
  <c r="I28" i="1"/>
  <c r="D33" i="1" s="1"/>
  <c r="D36" i="1" s="1"/>
  <c r="B5" i="5" l="1"/>
  <c r="D31" i="5" s="1"/>
  <c r="D36" i="5" s="1"/>
  <c r="B5" i="6" s="1"/>
  <c r="D31" i="6" s="1"/>
  <c r="D36" i="6" s="1"/>
  <c r="B5" i="7" s="1"/>
  <c r="D31" i="7" s="1"/>
  <c r="D36" i="7" s="1"/>
  <c r="B5" i="4" s="1"/>
  <c r="D26" i="4" s="1"/>
  <c r="D31" i="4" s="1"/>
  <c r="B5" i="8" l="1"/>
  <c r="D31" i="8" s="1"/>
  <c r="D36" i="8" s="1"/>
  <c r="B5" i="2" s="1"/>
  <c r="D31" i="2" s="1"/>
  <c r="D36" i="2" s="1"/>
</calcChain>
</file>

<file path=xl/sharedStrings.xml><?xml version="1.0" encoding="utf-8"?>
<sst xmlns="http://schemas.openxmlformats.org/spreadsheetml/2006/main" count="558" uniqueCount="96">
  <si>
    <t>INTEL HRC - ELECTRONIC CASH WALLET EXPENSE TRACKER</t>
  </si>
  <si>
    <t>DAILY CASH EXPENSE APPROVAL &amp; TRACKING SHEET</t>
  </si>
  <si>
    <t>WALLET INFORMATION</t>
  </si>
  <si>
    <t>Opening Balance:</t>
  </si>
  <si>
    <t>Wallet ID:</t>
  </si>
  <si>
    <t>S/N</t>
  </si>
  <si>
    <t>DATE</t>
  </si>
  <si>
    <t>DESCRIPTION/PURPOSE</t>
  </si>
  <si>
    <t>BENEFICIARY</t>
  </si>
  <si>
    <t>CATEGORY</t>
  </si>
  <si>
    <t>AMOUNT REQUESTED (XAF)</t>
  </si>
  <si>
    <t>CEO APPROVAL</t>
  </si>
  <si>
    <t>AMOUNT RELEASED (XAF)</t>
  </si>
  <si>
    <t>PAYMENT METHOD</t>
  </si>
  <si>
    <t>RECEIPT/REF NO.</t>
  </si>
  <si>
    <t>REMARKS</t>
  </si>
  <si>
    <t>TOTALS</t>
  </si>
  <si>
    <t>DAILY WALLET SUMMARY</t>
  </si>
  <si>
    <t>Total Amount Requested:</t>
  </si>
  <si>
    <t>Total Amount Released:</t>
  </si>
  <si>
    <t>Pending Approval:</t>
  </si>
  <si>
    <t>Rejected Amount:</t>
  </si>
  <si>
    <t>Closing Balance:</t>
  </si>
  <si>
    <t>AUTHORIZATION SIGNATURES</t>
  </si>
  <si>
    <t>Name/Date:</t>
  </si>
  <si>
    <t>Reviewed By (Finance):</t>
  </si>
  <si>
    <t>CEO APPROVAL:</t>
  </si>
  <si>
    <t>1795811 </t>
  </si>
  <si>
    <t>CLIENT REQUEST</t>
  </si>
  <si>
    <t xml:space="preserve">WARTSILA </t>
  </si>
  <si>
    <t>Miscellaneous</t>
  </si>
  <si>
    <t>Mobile Money</t>
  </si>
  <si>
    <t xml:space="preserve">CARPENTER </t>
  </si>
  <si>
    <t xml:space="preserve">CLARISSE </t>
  </si>
  <si>
    <t>Utilities</t>
  </si>
  <si>
    <t xml:space="preserve">DNF </t>
  </si>
  <si>
    <t>Communication</t>
  </si>
  <si>
    <t xml:space="preserve">INTERNET - STARLINK - HOME </t>
  </si>
  <si>
    <t xml:space="preserve">HOME BOX STAFF </t>
  </si>
  <si>
    <t>Vera, Murielle, Désire, Modeste,Diane,and Enow</t>
  </si>
  <si>
    <t>OFFICE TRASHCAN</t>
  </si>
  <si>
    <t xml:space="preserve">VERA </t>
  </si>
  <si>
    <t xml:space="preserve">SALARY </t>
  </si>
  <si>
    <t>3C CAMEROUN</t>
  </si>
  <si>
    <t>Supplies</t>
  </si>
  <si>
    <t>OFFICE SUPPLIES - water,glasses,paper napkin, office toiletries</t>
  </si>
  <si>
    <t>APPROVED</t>
  </si>
  <si>
    <t>CFO APPROVAL</t>
  </si>
  <si>
    <t>CFO APPROVAL:</t>
  </si>
  <si>
    <t>NOTE: CFO can approve expenses up to a defined threshold without CEO approval. Expenses above threshold require both CFO and CEO approval.</t>
  </si>
  <si>
    <t>Date:11/06/2026</t>
  </si>
  <si>
    <t xml:space="preserve">Prepared By: Tina-Randa </t>
  </si>
  <si>
    <t xml:space="preserve">STAR LINK RENTALS </t>
  </si>
  <si>
    <t xml:space="preserve">IBSIRE CORPORATE </t>
  </si>
  <si>
    <t xml:space="preserve">MAVIANCE </t>
  </si>
  <si>
    <t>REJECTED</t>
  </si>
  <si>
    <t>Name/Date: 11/06/2026</t>
  </si>
  <si>
    <t xml:space="preserve">ENOW </t>
  </si>
  <si>
    <t>DERICK FONDERSON</t>
  </si>
  <si>
    <t xml:space="preserve">CHARGES </t>
  </si>
  <si>
    <t xml:space="preserve">TINA </t>
  </si>
  <si>
    <t xml:space="preserve">EXTRA COST STARLINK - DNF </t>
  </si>
  <si>
    <t xml:space="preserve">FRANCIS </t>
  </si>
  <si>
    <t xml:space="preserve">FRAIS DE TAXI </t>
  </si>
  <si>
    <t>ERNEST</t>
  </si>
  <si>
    <t>Transport</t>
  </si>
  <si>
    <t>DESIRE</t>
  </si>
  <si>
    <t xml:space="preserve">DESIRE </t>
  </si>
  <si>
    <t>Date:15/06/2026</t>
  </si>
  <si>
    <t>Date:12/06/2026</t>
  </si>
  <si>
    <t>Date:13/06/2026</t>
  </si>
  <si>
    <t>Date:14/06/2026</t>
  </si>
  <si>
    <t>Date:16/06/2026</t>
  </si>
  <si>
    <t>Client Expense</t>
  </si>
  <si>
    <t xml:space="preserve">GAMING IQ </t>
  </si>
  <si>
    <t>SALARY - CYNTHIA STEWART</t>
  </si>
  <si>
    <t xml:space="preserve">SALARY - AURELIE SANDRA </t>
  </si>
  <si>
    <t xml:space="preserve">SALARY - RODRIGUE </t>
  </si>
  <si>
    <t xml:space="preserve">MAVIANCE DEDUCTED US WITHOUT MAKING PAYMENTS </t>
  </si>
  <si>
    <t xml:space="preserve">NOT ACCOUNTED FOR </t>
  </si>
  <si>
    <t>Maviance Balance:</t>
  </si>
  <si>
    <t>maviance balance as at 18/06/2026</t>
  </si>
  <si>
    <t xml:space="preserve">CAM WATER BUREAU - YDE </t>
  </si>
  <si>
    <t xml:space="preserve">CAM WATER BUREUA - DLA </t>
  </si>
  <si>
    <t xml:space="preserve">ENEO YDE </t>
  </si>
  <si>
    <t xml:space="preserve">IBSIRE CORP - STARLINK RENTALS </t>
  </si>
  <si>
    <t xml:space="preserve">IBSIRE CORP </t>
  </si>
  <si>
    <t xml:space="preserve">SENDING FEE WWF DOCUMENT </t>
  </si>
  <si>
    <t xml:space="preserve">STARLINK NEW SUBSCRIPTION </t>
  </si>
  <si>
    <t xml:space="preserve">LAPTOP MOUSE </t>
  </si>
  <si>
    <t xml:space="preserve">LAPTOP BAG </t>
  </si>
  <si>
    <t>CFO</t>
  </si>
  <si>
    <t xml:space="preserve">LAPTOP BAG STICKER </t>
  </si>
  <si>
    <t xml:space="preserve">MISSION </t>
  </si>
  <si>
    <t xml:space="preserve">I ENG </t>
  </si>
  <si>
    <t xml:space="preserve">SENDING FEE DHL EMPLOYEE VISAS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</si>
</sst>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\X\A\F\ #,##0"/>
    <numFmt numFmtId="165" formatCode="dd\-mmm\-yyyy"/>
  </numFmts>
  <fonts count="12" x14ac:knownFonts="1">
    <font>
      <sz val="12"/>
      <color theme="1"/>
      <name val="Candara"/>
      <family val="2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b/>
      <sz val="16"/>
      <color rgb="FFFFFFFF"/>
      <name val="Candara"/>
      <family val="2"/>
    </font>
    <font>
      <b/>
      <sz val="12"/>
      <color rgb="FFFFFFFF"/>
      <name val="Candara"/>
      <family val="2"/>
    </font>
    <font>
      <sz val="12"/>
      <color rgb="FFC65911"/>
      <name val="Candara"/>
      <family val="2"/>
    </font>
    <font>
      <sz val="12"/>
      <color rgb="FFC00000"/>
      <name val="Candara"/>
      <family val="2"/>
    </font>
    <font>
      <b/>
      <sz val="12"/>
      <color rgb="FF1F4E79"/>
      <name val="Candara"/>
      <family val="2"/>
    </font>
    <font>
      <sz val="11"/>
      <color rgb="FF757575"/>
      <name val="Arial"/>
      <family val="2"/>
    </font>
    <font>
      <sz val="14"/>
      <color rgb="FF0097A7"/>
      <name val="Arial"/>
      <family val="2"/>
    </font>
    <font>
      <i/>
      <sz val="10"/>
      <color theme="1"/>
      <name val="Candara"/>
      <family val="2"/>
    </font>
    <font>
      <b/>
      <sz val="12"/>
      <color theme="3"/>
      <name val="Candara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64" fontId="4" fillId="2" borderId="0" xfId="0" applyNumberFormat="1" applyFont="1" applyFill="1"/>
    <xf numFmtId="164" fontId="0" fillId="0" borderId="0" xfId="0" applyNumberForma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2" fillId="4" borderId="0" xfId="0" applyFont="1" applyFill="1"/>
    <xf numFmtId="0" fontId="0" fillId="4" borderId="0" xfId="0" applyFill="1"/>
    <xf numFmtId="164" fontId="7" fillId="4" borderId="0" xfId="0" applyNumberFormat="1" applyFont="1" applyFill="1" applyAlignment="1">
      <alignment horizontal="right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41" fontId="0" fillId="0" borderId="0" xfId="1" applyFont="1"/>
    <xf numFmtId="0" fontId="0" fillId="5" borderId="0" xfId="0" applyFill="1" applyAlignment="1">
      <alignment horizontal="left" wrapText="1"/>
    </xf>
    <xf numFmtId="3" fontId="0" fillId="0" borderId="0" xfId="0" applyNumberFormat="1" applyAlignment="1">
      <alignment horizontal="right"/>
    </xf>
    <xf numFmtId="0" fontId="11" fillId="0" borderId="0" xfId="0" applyFont="1"/>
    <xf numFmtId="0" fontId="0" fillId="0" borderId="0" xfId="0" applyAlignment="1">
      <alignment horizontal="righ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10" fillId="0" borderId="0" xfId="0" applyFont="1" applyAlignment="1">
      <alignment wrapText="1"/>
    </xf>
    <xf numFmtId="14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7951-AB0C-4DDE-8088-D926DB5715A4}">
  <dimension ref="A1:Q43"/>
  <sheetViews>
    <sheetView zoomScale="70" zoomScaleNormal="70" workbookViewId="0">
      <selection activeCell="B5" sqref="B5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 t="s">
        <v>27</v>
      </c>
      <c r="D5" s="1" t="s">
        <v>50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>
        <v>46184</v>
      </c>
      <c r="C8" s="10" t="s">
        <v>28</v>
      </c>
      <c r="D8" s="10" t="s">
        <v>29</v>
      </c>
      <c r="E8" s="7" t="s">
        <v>30</v>
      </c>
      <c r="F8" s="9">
        <v>226500</v>
      </c>
      <c r="G8" s="9" t="s">
        <v>46</v>
      </c>
      <c r="H8" s="7" t="s">
        <v>46</v>
      </c>
      <c r="I8" s="9">
        <f t="shared" ref="I8:I27" si="0">IF(AND(G8="APPROVED", OR(H8="", H8="APPROVED")), F8, "")</f>
        <v>226500</v>
      </c>
      <c r="J8" s="7" t="s">
        <v>31</v>
      </c>
      <c r="K8" s="7"/>
      <c r="L8" s="10">
        <v>696000079</v>
      </c>
    </row>
    <row r="9" spans="1:17" x14ac:dyDescent="0.3">
      <c r="A9" s="4">
        <v>2</v>
      </c>
      <c r="B9" s="8">
        <v>46184</v>
      </c>
      <c r="C9" s="11" t="s">
        <v>32</v>
      </c>
      <c r="D9" s="11" t="s">
        <v>33</v>
      </c>
      <c r="E9" s="4" t="s">
        <v>34</v>
      </c>
      <c r="F9" s="5">
        <v>15000</v>
      </c>
      <c r="G9" s="5" t="s">
        <v>46</v>
      </c>
      <c r="H9" s="4" t="s">
        <v>46</v>
      </c>
      <c r="I9" s="5">
        <f t="shared" si="0"/>
        <v>15000</v>
      </c>
      <c r="J9" s="4" t="s">
        <v>31</v>
      </c>
      <c r="K9" s="4"/>
      <c r="L9" s="10">
        <v>673202213</v>
      </c>
    </row>
    <row r="10" spans="1:17" x14ac:dyDescent="0.3">
      <c r="A10" s="7">
        <v>3</v>
      </c>
      <c r="B10" s="8">
        <v>46184</v>
      </c>
      <c r="C10" s="10" t="s">
        <v>37</v>
      </c>
      <c r="D10" s="10" t="s">
        <v>35</v>
      </c>
      <c r="E10" s="7" t="s">
        <v>36</v>
      </c>
      <c r="F10" s="9">
        <v>56000</v>
      </c>
      <c r="G10" s="9" t="s">
        <v>46</v>
      </c>
      <c r="H10" s="7" t="s">
        <v>46</v>
      </c>
      <c r="I10" s="9">
        <f t="shared" si="0"/>
        <v>56000</v>
      </c>
      <c r="J10" s="7" t="s">
        <v>31</v>
      </c>
      <c r="K10" s="7"/>
      <c r="L10" s="10">
        <v>691292582</v>
      </c>
    </row>
    <row r="11" spans="1:17" x14ac:dyDescent="0.3">
      <c r="A11" s="4">
        <v>4</v>
      </c>
      <c r="B11" s="8">
        <v>46184</v>
      </c>
      <c r="C11" s="11" t="s">
        <v>38</v>
      </c>
      <c r="D11" s="11" t="s">
        <v>39</v>
      </c>
      <c r="E11" s="4" t="s">
        <v>36</v>
      </c>
      <c r="F11" s="5">
        <f>25000*6</f>
        <v>150000</v>
      </c>
      <c r="G11" s="5" t="s">
        <v>46</v>
      </c>
      <c r="H11" s="4" t="s">
        <v>46</v>
      </c>
      <c r="I11" s="5">
        <f t="shared" si="0"/>
        <v>150000</v>
      </c>
      <c r="J11" s="4" t="s">
        <v>31</v>
      </c>
      <c r="K11" s="4"/>
      <c r="L11" s="11">
        <v>680119289</v>
      </c>
    </row>
    <row r="12" spans="1:17" x14ac:dyDescent="0.3">
      <c r="A12" s="7">
        <v>5</v>
      </c>
      <c r="B12" s="8">
        <v>46184</v>
      </c>
      <c r="C12" s="10" t="s">
        <v>40</v>
      </c>
      <c r="D12" s="10" t="s">
        <v>41</v>
      </c>
      <c r="E12" s="7" t="s">
        <v>34</v>
      </c>
      <c r="F12" s="9">
        <v>50000</v>
      </c>
      <c r="G12" s="9" t="s">
        <v>46</v>
      </c>
      <c r="H12" s="7" t="s">
        <v>46</v>
      </c>
      <c r="I12" s="9">
        <f t="shared" si="0"/>
        <v>50000</v>
      </c>
      <c r="J12" s="7" t="s">
        <v>31</v>
      </c>
      <c r="K12" s="7"/>
      <c r="L12" s="10">
        <v>656199170</v>
      </c>
    </row>
    <row r="13" spans="1:17" x14ac:dyDescent="0.3">
      <c r="A13" s="26">
        <v>6</v>
      </c>
      <c r="B13" s="8">
        <v>46184</v>
      </c>
      <c r="C13" s="11" t="s">
        <v>42</v>
      </c>
      <c r="D13" s="11" t="s">
        <v>43</v>
      </c>
      <c r="E13" s="4" t="s">
        <v>30</v>
      </c>
      <c r="F13" s="5">
        <v>64370</v>
      </c>
      <c r="G13" s="5" t="s">
        <v>46</v>
      </c>
      <c r="H13" s="4" t="s">
        <v>46</v>
      </c>
      <c r="I13" s="5">
        <f t="shared" si="0"/>
        <v>64370</v>
      </c>
      <c r="J13" s="4" t="s">
        <v>31</v>
      </c>
      <c r="K13" s="4"/>
      <c r="L13" s="11">
        <v>690628016</v>
      </c>
    </row>
    <row r="14" spans="1:17" ht="19.2" customHeight="1" x14ac:dyDescent="0.3">
      <c r="A14" s="7">
        <v>7</v>
      </c>
      <c r="B14" s="8">
        <v>46184</v>
      </c>
      <c r="C14" s="22" t="s">
        <v>45</v>
      </c>
      <c r="D14" s="10" t="s">
        <v>33</v>
      </c>
      <c r="E14" s="7" t="s">
        <v>44</v>
      </c>
      <c r="F14" s="9">
        <v>100000</v>
      </c>
      <c r="G14" s="9" t="s">
        <v>46</v>
      </c>
      <c r="H14" s="7" t="s">
        <v>46</v>
      </c>
      <c r="I14" s="9">
        <f t="shared" si="0"/>
        <v>100000</v>
      </c>
      <c r="J14" s="7" t="s">
        <v>31</v>
      </c>
      <c r="K14" s="7"/>
      <c r="L14" s="10">
        <v>673202213</v>
      </c>
      <c r="Q14" s="25"/>
    </row>
    <row r="15" spans="1:17" x14ac:dyDescent="0.3">
      <c r="A15" s="4">
        <v>8</v>
      </c>
      <c r="B15" s="8">
        <v>46184</v>
      </c>
      <c r="C15" s="11" t="s">
        <v>52</v>
      </c>
      <c r="D15" s="11" t="s">
        <v>53</v>
      </c>
      <c r="E15" s="4" t="s">
        <v>36</v>
      </c>
      <c r="F15" s="5">
        <v>45000</v>
      </c>
      <c r="G15" s="5" t="s">
        <v>55</v>
      </c>
      <c r="H15" s="4"/>
      <c r="I15" s="5" t="str">
        <f t="shared" si="0"/>
        <v/>
      </c>
      <c r="J15" s="4" t="s">
        <v>31</v>
      </c>
      <c r="K15" s="4"/>
      <c r="L15" s="11"/>
    </row>
    <row r="16" spans="1:17" x14ac:dyDescent="0.3">
      <c r="A16" s="7">
        <v>9</v>
      </c>
      <c r="B16" s="8">
        <v>46184</v>
      </c>
      <c r="C16" s="10" t="s">
        <v>59</v>
      </c>
      <c r="D16" s="10" t="s">
        <v>33</v>
      </c>
      <c r="E16" s="4" t="s">
        <v>30</v>
      </c>
      <c r="F16" s="9">
        <v>1400</v>
      </c>
      <c r="G16" s="9" t="s">
        <v>46</v>
      </c>
      <c r="H16" s="7" t="s">
        <v>46</v>
      </c>
      <c r="I16" s="9">
        <f t="shared" si="0"/>
        <v>1400</v>
      </c>
      <c r="J16" s="7" t="s">
        <v>31</v>
      </c>
      <c r="K16" s="7"/>
      <c r="L16" s="10">
        <v>673202213</v>
      </c>
    </row>
    <row r="17" spans="1:12" x14ac:dyDescent="0.3">
      <c r="A17" s="4">
        <v>10</v>
      </c>
      <c r="B17" s="8">
        <v>46184</v>
      </c>
      <c r="C17" s="10" t="s">
        <v>59</v>
      </c>
      <c r="D17" s="11" t="s">
        <v>60</v>
      </c>
      <c r="E17" s="4" t="s">
        <v>30</v>
      </c>
      <c r="F17" s="5">
        <v>1800</v>
      </c>
      <c r="G17" s="5" t="s">
        <v>46</v>
      </c>
      <c r="H17" s="4" t="s">
        <v>46</v>
      </c>
      <c r="I17" s="5">
        <f t="shared" si="0"/>
        <v>1800</v>
      </c>
      <c r="J17" s="4" t="s">
        <v>31</v>
      </c>
      <c r="K17" s="4"/>
      <c r="L17" s="11">
        <v>680119289</v>
      </c>
    </row>
    <row r="18" spans="1:12" x14ac:dyDescent="0.3">
      <c r="A18" s="7">
        <v>11</v>
      </c>
      <c r="B18" s="8">
        <v>46188</v>
      </c>
      <c r="C18" s="10" t="s">
        <v>61</v>
      </c>
      <c r="D18" s="10" t="s">
        <v>62</v>
      </c>
      <c r="E18" s="7" t="s">
        <v>36</v>
      </c>
      <c r="F18" s="9">
        <v>5500</v>
      </c>
      <c r="G18" s="9" t="s">
        <v>46</v>
      </c>
      <c r="H18" s="7" t="s">
        <v>46</v>
      </c>
      <c r="I18" s="9">
        <f t="shared" si="0"/>
        <v>5500</v>
      </c>
      <c r="J18" s="7" t="s">
        <v>31</v>
      </c>
      <c r="K18" s="7"/>
      <c r="L18" s="10"/>
    </row>
    <row r="19" spans="1:12" x14ac:dyDescent="0.3">
      <c r="A19" s="4">
        <v>12</v>
      </c>
      <c r="B19" s="8">
        <v>46188</v>
      </c>
      <c r="C19" s="11" t="s">
        <v>63</v>
      </c>
      <c r="D19" s="11" t="s">
        <v>64</v>
      </c>
      <c r="E19" s="4" t="s">
        <v>65</v>
      </c>
      <c r="F19" s="5">
        <v>3000</v>
      </c>
      <c r="G19" s="5" t="s">
        <v>46</v>
      </c>
      <c r="H19" s="4" t="s">
        <v>46</v>
      </c>
      <c r="I19" s="5">
        <f t="shared" si="0"/>
        <v>3000</v>
      </c>
      <c r="J19" s="4" t="s">
        <v>31</v>
      </c>
      <c r="K19" s="4"/>
      <c r="L19" s="11"/>
    </row>
    <row r="20" spans="1:12" x14ac:dyDescent="0.3">
      <c r="A20" s="7">
        <v>13</v>
      </c>
      <c r="B20" s="8">
        <v>46188</v>
      </c>
      <c r="C20" s="10" t="s">
        <v>66</v>
      </c>
      <c r="D20" s="10" t="s">
        <v>67</v>
      </c>
      <c r="E20" s="7" t="s">
        <v>65</v>
      </c>
      <c r="F20" s="9">
        <v>10000</v>
      </c>
      <c r="G20" s="9" t="s">
        <v>46</v>
      </c>
      <c r="H20" s="7" t="s">
        <v>46</v>
      </c>
      <c r="I20" s="9">
        <f t="shared" si="0"/>
        <v>10000</v>
      </c>
      <c r="J20" s="7" t="s">
        <v>31</v>
      </c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 t="str">
        <f t="shared" si="0"/>
        <v/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 t="str">
        <f t="shared" si="0"/>
        <v/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 t="str">
        <f t="shared" si="0"/>
        <v/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 t="str">
        <f t="shared" si="0"/>
        <v/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 t="str">
        <f t="shared" si="0"/>
        <v/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 t="str">
        <f t="shared" si="0"/>
        <v/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 t="str">
        <f t="shared" si="0"/>
        <v/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728570</v>
      </c>
      <c r="G28" s="12"/>
      <c r="H28" s="2"/>
      <c r="I28" s="12">
        <f>SUMIF(G8:G27,"APPROVED",I8:I27)</f>
        <v>683570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v>1795811</v>
      </c>
    </row>
    <row r="32" spans="1:12" x14ac:dyDescent="0.3">
      <c r="A32" s="1" t="s">
        <v>18</v>
      </c>
      <c r="D32" s="13">
        <f>F28</f>
        <v>728570</v>
      </c>
    </row>
    <row r="33" spans="1:12" x14ac:dyDescent="0.3">
      <c r="A33" s="1" t="s">
        <v>19</v>
      </c>
      <c r="D33" s="13">
        <f>I28</f>
        <v>683570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45000</v>
      </c>
    </row>
    <row r="36" spans="1:12" x14ac:dyDescent="0.3">
      <c r="A36" s="16" t="s">
        <v>22</v>
      </c>
      <c r="B36" s="17"/>
      <c r="C36" s="17"/>
      <c r="D36" s="18">
        <f>D31-D33</f>
        <v>1112241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</sheetData>
  <mergeCells count="15">
    <mergeCell ref="A43:L43"/>
    <mergeCell ref="B41:C41"/>
    <mergeCell ref="B42:C42"/>
    <mergeCell ref="K41:L41"/>
    <mergeCell ref="K42:L42"/>
    <mergeCell ref="E41:F41"/>
    <mergeCell ref="H41:I41"/>
    <mergeCell ref="E42:F42"/>
    <mergeCell ref="H42:I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sqref="H8:H27" xr:uid="{AFC83A04-4A9B-4258-9EEA-EF7BE0FA8C8F}">
      <formula1>"APPROVED,PENDING,REJECTED"</formula1>
    </dataValidation>
    <dataValidation type="list" allowBlank="1" showInputMessage="1" showErrorMessage="1" sqref="J8:J27" xr:uid="{61802489-D2E9-4606-957A-DC6A6944AB30}">
      <formula1>"Cash,Mobile Money,Bank Transfer"</formula1>
    </dataValidation>
    <dataValidation type="list" allowBlank="1" showInputMessage="1" showErrorMessage="1" errorTitle="Invalid Entry" error="Please select APPROVED, PENDING, or REJECTED from the dropdown list." sqref="G8:G27" xr:uid="{EC94AFC6-4F81-4409-92B9-17C5ABD1F5F4}">
      <formula1>"APPROVED,PENDING,REJECTED"</formula1>
    </dataValidation>
    <dataValidation type="list" allowBlank="1" showInputMessage="1" showErrorMessage="1" sqref="E8:E27" xr:uid="{3CD926F7-436D-45C2-8EFF-CF6FBD56AC3F}">
      <formula1>"Transport,Supplies,Utilities,Meals,Repairs,Communication,Miscellaneous"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D7FF-F2AC-442E-8F3D-C3714C23F2DF}">
  <dimension ref="A1:Q51"/>
  <sheetViews>
    <sheetView topLeftCell="C1" zoomScale="70" zoomScaleNormal="70" workbookViewId="0">
      <selection activeCell="A19" sqref="A19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v>1795811</v>
      </c>
      <c r="D5" s="1" t="s">
        <v>50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27">
        <v>1</v>
      </c>
      <c r="B8" s="8">
        <v>46184</v>
      </c>
      <c r="C8" s="10" t="s">
        <v>28</v>
      </c>
      <c r="D8" s="10" t="s">
        <v>29</v>
      </c>
      <c r="E8" s="7" t="s">
        <v>73</v>
      </c>
      <c r="F8" s="9">
        <v>226500</v>
      </c>
      <c r="G8" s="9" t="s">
        <v>46</v>
      </c>
      <c r="H8" s="7" t="s">
        <v>46</v>
      </c>
      <c r="I8" s="9">
        <f t="shared" ref="I8:I26" si="0">IF(OR(G8="REJECTED",G8=""),0,IF(OR(AND(G8="APPROVED",H8="APPROVED"),AND(G8="APPROVED",H8="")),F8,0))</f>
        <v>226500</v>
      </c>
      <c r="J8" s="7" t="s">
        <v>31</v>
      </c>
      <c r="K8" s="7"/>
      <c r="L8" s="10">
        <v>696000079</v>
      </c>
    </row>
    <row r="9" spans="1:17" x14ac:dyDescent="0.3">
      <c r="A9" s="7">
        <v>2</v>
      </c>
      <c r="B9" s="8">
        <v>46184</v>
      </c>
      <c r="C9" s="11" t="s">
        <v>32</v>
      </c>
      <c r="D9" s="11" t="s">
        <v>33</v>
      </c>
      <c r="E9" s="4" t="s">
        <v>34</v>
      </c>
      <c r="F9" s="5">
        <v>15000</v>
      </c>
      <c r="G9" s="5" t="s">
        <v>46</v>
      </c>
      <c r="H9" s="4" t="s">
        <v>46</v>
      </c>
      <c r="I9" s="5">
        <f t="shared" si="0"/>
        <v>15000</v>
      </c>
      <c r="J9" s="4" t="s">
        <v>31</v>
      </c>
      <c r="K9" s="4"/>
      <c r="L9" s="10">
        <v>673202213</v>
      </c>
    </row>
    <row r="10" spans="1:17" x14ac:dyDescent="0.3">
      <c r="A10" s="27">
        <v>4</v>
      </c>
      <c r="B10" s="8">
        <v>46184</v>
      </c>
      <c r="C10" s="11" t="s">
        <v>38</v>
      </c>
      <c r="D10" s="11" t="s">
        <v>39</v>
      </c>
      <c r="E10" s="4" t="s">
        <v>36</v>
      </c>
      <c r="F10" s="5">
        <v>150000</v>
      </c>
      <c r="G10" s="5" t="s">
        <v>46</v>
      </c>
      <c r="H10" s="4" t="s">
        <v>46</v>
      </c>
      <c r="I10" s="5">
        <f t="shared" si="0"/>
        <v>150000</v>
      </c>
      <c r="J10" s="4" t="s">
        <v>31</v>
      </c>
      <c r="K10" s="4"/>
      <c r="L10" s="11">
        <v>680119289</v>
      </c>
    </row>
    <row r="11" spans="1:17" x14ac:dyDescent="0.3">
      <c r="A11" s="7">
        <v>5</v>
      </c>
      <c r="B11" s="8">
        <v>46184</v>
      </c>
      <c r="C11" s="10" t="s">
        <v>40</v>
      </c>
      <c r="D11" s="10" t="s">
        <v>41</v>
      </c>
      <c r="E11" s="7" t="s">
        <v>34</v>
      </c>
      <c r="F11" s="9">
        <v>51000</v>
      </c>
      <c r="G11" s="9" t="s">
        <v>46</v>
      </c>
      <c r="H11" s="7" t="s">
        <v>46</v>
      </c>
      <c r="I11" s="9">
        <f t="shared" si="0"/>
        <v>51000</v>
      </c>
      <c r="J11" s="7" t="s">
        <v>31</v>
      </c>
      <c r="K11" s="7"/>
      <c r="L11" s="10">
        <v>656199170</v>
      </c>
    </row>
    <row r="12" spans="1:17" ht="19.2" customHeight="1" x14ac:dyDescent="0.3">
      <c r="A12" s="27">
        <v>7</v>
      </c>
      <c r="B12" s="8">
        <v>46184</v>
      </c>
      <c r="C12" s="22" t="s">
        <v>45</v>
      </c>
      <c r="D12" s="10" t="s">
        <v>33</v>
      </c>
      <c r="E12" s="7" t="s">
        <v>44</v>
      </c>
      <c r="F12" s="9">
        <v>100000</v>
      </c>
      <c r="G12" s="9" t="s">
        <v>46</v>
      </c>
      <c r="H12" s="7" t="s">
        <v>46</v>
      </c>
      <c r="I12" s="9">
        <f t="shared" si="0"/>
        <v>100000</v>
      </c>
      <c r="J12" s="7" t="s">
        <v>31</v>
      </c>
      <c r="K12" s="7"/>
      <c r="L12" s="10">
        <v>673202213</v>
      </c>
      <c r="Q12" s="25"/>
    </row>
    <row r="13" spans="1:17" x14ac:dyDescent="0.3">
      <c r="A13" s="7">
        <v>8</v>
      </c>
      <c r="B13" s="8">
        <v>46184</v>
      </c>
      <c r="C13" s="11" t="s">
        <v>52</v>
      </c>
      <c r="D13" s="11" t="s">
        <v>53</v>
      </c>
      <c r="E13" s="4" t="s">
        <v>36</v>
      </c>
      <c r="F13" s="5">
        <v>45000</v>
      </c>
      <c r="G13" s="5" t="s">
        <v>55</v>
      </c>
      <c r="H13" s="4"/>
      <c r="I13" s="5">
        <f t="shared" si="0"/>
        <v>0</v>
      </c>
      <c r="J13" s="4" t="s">
        <v>31</v>
      </c>
      <c r="K13" s="4"/>
      <c r="L13" s="11"/>
    </row>
    <row r="14" spans="1:17" x14ac:dyDescent="0.3">
      <c r="A14" s="27">
        <v>9</v>
      </c>
      <c r="B14" s="8">
        <v>46184</v>
      </c>
      <c r="C14" s="10" t="s">
        <v>59</v>
      </c>
      <c r="D14" s="10" t="s">
        <v>33</v>
      </c>
      <c r="E14" s="4" t="s">
        <v>30</v>
      </c>
      <c r="F14" s="9">
        <v>1400</v>
      </c>
      <c r="G14" s="9" t="s">
        <v>46</v>
      </c>
      <c r="H14" s="7" t="s">
        <v>46</v>
      </c>
      <c r="I14" s="9">
        <f t="shared" si="0"/>
        <v>1400</v>
      </c>
      <c r="J14" s="7" t="s">
        <v>31</v>
      </c>
      <c r="K14" s="7"/>
      <c r="L14" s="10">
        <v>673202213</v>
      </c>
    </row>
    <row r="15" spans="1:17" x14ac:dyDescent="0.3">
      <c r="A15" s="27">
        <v>10</v>
      </c>
      <c r="B15" s="8">
        <v>46184</v>
      </c>
      <c r="C15" s="10" t="s">
        <v>59</v>
      </c>
      <c r="D15" s="11" t="s">
        <v>60</v>
      </c>
      <c r="E15" s="4" t="s">
        <v>30</v>
      </c>
      <c r="F15" s="5">
        <v>1800</v>
      </c>
      <c r="G15" s="5" t="s">
        <v>46</v>
      </c>
      <c r="H15" s="4" t="s">
        <v>46</v>
      </c>
      <c r="I15" s="5">
        <f t="shared" si="0"/>
        <v>1800</v>
      </c>
      <c r="J15" s="4" t="s">
        <v>31</v>
      </c>
      <c r="K15" s="4"/>
      <c r="L15" s="11">
        <v>680119289</v>
      </c>
    </row>
    <row r="16" spans="1:17" x14ac:dyDescent="0.3">
      <c r="A16" s="7">
        <v>11</v>
      </c>
      <c r="B16" s="8"/>
      <c r="C16" s="10"/>
      <c r="D16" s="10"/>
      <c r="E16" s="7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27">
        <v>12</v>
      </c>
      <c r="B17" s="8"/>
      <c r="C17" s="11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13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14</v>
      </c>
      <c r="B19" s="6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15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16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17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18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19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20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33" t="s">
        <v>16</v>
      </c>
      <c r="B26" s="34"/>
      <c r="C26" s="34"/>
      <c r="D26" s="34"/>
      <c r="E26" s="34"/>
      <c r="F26" s="12">
        <f>SUM(F8:F25)</f>
        <v>590700</v>
      </c>
      <c r="G26" s="12"/>
      <c r="H26" s="2"/>
      <c r="I26" s="12">
        <f t="shared" si="0"/>
        <v>0</v>
      </c>
      <c r="J26" s="2"/>
      <c r="K26" s="2"/>
      <c r="L26" s="2"/>
    </row>
    <row r="28" spans="1:12" x14ac:dyDescent="0.3">
      <c r="A28" s="32" t="s">
        <v>17</v>
      </c>
      <c r="B28" s="31"/>
      <c r="C28" s="31"/>
      <c r="D28" s="31"/>
    </row>
    <row r="29" spans="1:12" x14ac:dyDescent="0.3">
      <c r="A29" s="1" t="s">
        <v>3</v>
      </c>
      <c r="D29" s="23">
        <f>B5</f>
        <v>1795811</v>
      </c>
    </row>
    <row r="30" spans="1:12" x14ac:dyDescent="0.3">
      <c r="A30" s="1" t="s">
        <v>18</v>
      </c>
      <c r="D30" s="13">
        <f>F26</f>
        <v>590700</v>
      </c>
    </row>
    <row r="31" spans="1:12" x14ac:dyDescent="0.3">
      <c r="A31" s="1" t="s">
        <v>19</v>
      </c>
      <c r="D31" s="13">
        <f>I26</f>
        <v>0</v>
      </c>
    </row>
    <row r="32" spans="1:12" x14ac:dyDescent="0.3">
      <c r="A32" s="1" t="s">
        <v>20</v>
      </c>
      <c r="D32" s="14">
        <f>SUMIFS(F8:F25,G8:G25,"PENDING")+SUMIFS(F8:F25,G8:G25,"APPROVED",H8:H25,"PENDING")</f>
        <v>0</v>
      </c>
    </row>
    <row r="33" spans="1:12" x14ac:dyDescent="0.3">
      <c r="A33" s="1" t="s">
        <v>21</v>
      </c>
      <c r="D33" s="15">
        <f>SUMIF(G8:G25,"REJECTED",F8:F25)+SUMIFS(F8:F25,G8:G25,"APPROVED",H8:H25,"REJECTED")</f>
        <v>45000</v>
      </c>
    </row>
    <row r="34" spans="1:12" x14ac:dyDescent="0.3">
      <c r="A34" s="16" t="s">
        <v>22</v>
      </c>
      <c r="B34" s="17"/>
      <c r="C34" s="17"/>
      <c r="D34" s="18">
        <f>D29-D31</f>
        <v>1795811</v>
      </c>
    </row>
    <row r="37" spans="1:12" x14ac:dyDescent="0.3">
      <c r="A37" s="28" t="s">
        <v>23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9" spans="1:12" x14ac:dyDescent="0.3">
      <c r="A39" s="1" t="s">
        <v>51</v>
      </c>
      <c r="B39" s="31"/>
      <c r="C39" s="31"/>
      <c r="D39" t="s">
        <v>25</v>
      </c>
      <c r="E39" s="31"/>
      <c r="F39" s="31"/>
      <c r="G39" t="s">
        <v>48</v>
      </c>
      <c r="H39" s="31" t="s">
        <v>57</v>
      </c>
      <c r="I39" s="31"/>
      <c r="J39" s="24" t="s">
        <v>26</v>
      </c>
      <c r="K39" s="31" t="s">
        <v>58</v>
      </c>
      <c r="L39" s="31"/>
    </row>
    <row r="40" spans="1:12" x14ac:dyDescent="0.3">
      <c r="A40" t="s">
        <v>56</v>
      </c>
      <c r="B40" s="31"/>
      <c r="C40" s="31"/>
      <c r="D40" t="s">
        <v>24</v>
      </c>
      <c r="E40" s="31"/>
      <c r="F40" s="31"/>
      <c r="G40" t="s">
        <v>24</v>
      </c>
      <c r="H40" s="36">
        <v>46184</v>
      </c>
      <c r="I40" s="31"/>
      <c r="J40" t="s">
        <v>24</v>
      </c>
      <c r="K40" s="36">
        <v>46184</v>
      </c>
      <c r="L40" s="31"/>
    </row>
    <row r="41" spans="1:12" x14ac:dyDescent="0.3">
      <c r="A41" s="35" t="s">
        <v>49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50" spans="5:6" x14ac:dyDescent="0.3">
      <c r="E50">
        <v>226370</v>
      </c>
      <c r="F50" t="s">
        <v>78</v>
      </c>
    </row>
    <row r="51" spans="5:6" x14ac:dyDescent="0.3">
      <c r="E51">
        <v>102409</v>
      </c>
      <c r="F51" t="s">
        <v>79</v>
      </c>
    </row>
  </sheetData>
  <mergeCells count="15">
    <mergeCell ref="A41:L41"/>
    <mergeCell ref="B39:C39"/>
    <mergeCell ref="E39:F39"/>
    <mergeCell ref="H39:I39"/>
    <mergeCell ref="K39:L39"/>
    <mergeCell ref="B40:C40"/>
    <mergeCell ref="E40:F40"/>
    <mergeCell ref="H40:I40"/>
    <mergeCell ref="K40:L40"/>
    <mergeCell ref="A37:L37"/>
    <mergeCell ref="A1:L1"/>
    <mergeCell ref="A2:L2"/>
    <mergeCell ref="A4:L4"/>
    <mergeCell ref="A26:E26"/>
    <mergeCell ref="A28:D28"/>
  </mergeCells>
  <dataValidations count="4">
    <dataValidation type="list" allowBlank="1" showInputMessage="1" showErrorMessage="1" errorTitle="Invalid Entry" error="Please select APPROVED, PENDING, or REJECTED from the dropdown list." sqref="G8:G25" xr:uid="{E0C21FC6-0657-45BB-8C95-3E625960084A}">
      <formula1>"APPROVED,PENDING,REJECTED"</formula1>
    </dataValidation>
    <dataValidation type="list" allowBlank="1" showInputMessage="1" showErrorMessage="1" sqref="J8:J25" xr:uid="{04F9694B-D288-481D-83B7-217357209E30}">
      <formula1>"Cash,Mobile Money,Bank Transfer"</formula1>
    </dataValidation>
    <dataValidation type="list" allowBlank="1" showInputMessage="1" showErrorMessage="1" sqref="H8:H25" xr:uid="{8F267687-FE37-4241-8011-4A3CE1AB4307}">
      <formula1>"APPROVED,PENDING,REJECTED"</formula1>
    </dataValidation>
    <dataValidation type="list" allowBlank="1" showInputMessage="1" showErrorMessage="1" sqref="E8:E25" xr:uid="{DE67CA6F-52F9-4A33-B996-81E18A3FEC76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924A-A231-49F3-AF8A-23BD41468C2D}">
  <dimension ref="A1:Q43"/>
  <sheetViews>
    <sheetView zoomScale="70" zoomScaleNormal="70" workbookViewId="0">
      <selection activeCell="A6" sqref="A6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'11-06-2026'!D34</f>
        <v>1795811</v>
      </c>
      <c r="D5" s="1" t="s">
        <v>69</v>
      </c>
      <c r="H5" s="1" t="s">
        <v>4</v>
      </c>
      <c r="I5" t="s">
        <v>54</v>
      </c>
      <c r="Q5" s="19"/>
    </row>
    <row r="6" spans="1:17" ht="17.399999999999999" x14ac:dyDescent="0.3">
      <c r="A6" s="1" t="s">
        <v>80</v>
      </c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>
        <v>46185</v>
      </c>
      <c r="C8" s="10" t="s">
        <v>75</v>
      </c>
      <c r="D8" s="10" t="s">
        <v>74</v>
      </c>
      <c r="E8" s="7" t="s">
        <v>73</v>
      </c>
      <c r="F8" s="9">
        <v>34626</v>
      </c>
      <c r="G8" s="9" t="s">
        <v>46</v>
      </c>
      <c r="H8" s="7" t="s">
        <v>46</v>
      </c>
      <c r="I8" s="9">
        <f t="shared" ref="I8:I27" si="0">IF(OR(G8="REJECTED",G8=""),0,IF(OR(AND(G8="APPROVED",H8="APPROVED"),AND(G8="APPROVED",H8="")),F8,0))</f>
        <v>34626</v>
      </c>
      <c r="J8" s="7"/>
      <c r="K8" s="7"/>
      <c r="L8" s="10"/>
    </row>
    <row r="9" spans="1:17" x14ac:dyDescent="0.3">
      <c r="A9" s="4">
        <v>2</v>
      </c>
      <c r="B9" s="8">
        <v>46185</v>
      </c>
      <c r="C9" s="11" t="s">
        <v>76</v>
      </c>
      <c r="D9" s="10" t="s">
        <v>74</v>
      </c>
      <c r="E9" s="4" t="s">
        <v>73</v>
      </c>
      <c r="F9" s="5">
        <v>90656</v>
      </c>
      <c r="G9" s="5" t="s">
        <v>46</v>
      </c>
      <c r="H9" s="4" t="s">
        <v>46</v>
      </c>
      <c r="I9" s="5">
        <f t="shared" si="0"/>
        <v>90656</v>
      </c>
      <c r="J9" s="4"/>
      <c r="K9" s="4"/>
      <c r="L9" s="10"/>
    </row>
    <row r="10" spans="1:17" x14ac:dyDescent="0.3">
      <c r="A10" s="7">
        <v>3</v>
      </c>
      <c r="B10" s="8">
        <v>46185</v>
      </c>
      <c r="C10" s="10" t="s">
        <v>37</v>
      </c>
      <c r="D10" s="10" t="s">
        <v>35</v>
      </c>
      <c r="E10" s="7" t="s">
        <v>36</v>
      </c>
      <c r="F10" s="9">
        <v>56000</v>
      </c>
      <c r="G10" s="9" t="s">
        <v>46</v>
      </c>
      <c r="H10" s="7" t="s">
        <v>46</v>
      </c>
      <c r="I10" s="9">
        <f t="shared" si="0"/>
        <v>56000</v>
      </c>
      <c r="J10" s="7"/>
      <c r="K10" s="7"/>
      <c r="L10" s="10"/>
    </row>
    <row r="11" spans="1:17" x14ac:dyDescent="0.3">
      <c r="A11" s="4">
        <v>4</v>
      </c>
      <c r="B11" s="8">
        <v>46185</v>
      </c>
      <c r="C11" s="11" t="s">
        <v>77</v>
      </c>
      <c r="D11" s="11" t="s">
        <v>74</v>
      </c>
      <c r="E11" s="4" t="s">
        <v>73</v>
      </c>
      <c r="F11" s="5">
        <v>70360</v>
      </c>
      <c r="G11" s="5" t="s">
        <v>46</v>
      </c>
      <c r="H11" s="4" t="s">
        <v>46</v>
      </c>
      <c r="I11" s="5">
        <f t="shared" si="0"/>
        <v>70360</v>
      </c>
      <c r="J11" s="4"/>
      <c r="K11" s="4"/>
      <c r="L11" s="11"/>
    </row>
    <row r="12" spans="1:17" x14ac:dyDescent="0.3">
      <c r="A12" s="7">
        <v>5</v>
      </c>
      <c r="B12" s="8"/>
      <c r="C12" s="10"/>
      <c r="D12" s="10"/>
      <c r="E12" s="7"/>
      <c r="F12" s="9"/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27">
        <v>6</v>
      </c>
      <c r="B13" s="8"/>
      <c r="C13" s="11"/>
      <c r="D13" s="11"/>
      <c r="E13" s="4"/>
      <c r="F13" s="5"/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/>
      <c r="C14" s="22"/>
      <c r="D14" s="10"/>
      <c r="E14" s="7"/>
      <c r="F14" s="9"/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/>
      <c r="C15" s="11"/>
      <c r="D15" s="11"/>
      <c r="E15" s="4"/>
      <c r="F15" s="5"/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/>
      <c r="C16" s="10"/>
      <c r="D16" s="10"/>
      <c r="E16" s="4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/>
      <c r="C17" s="10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12</v>
      </c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13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251642</v>
      </c>
      <c r="G28" s="12"/>
      <c r="H28" s="2"/>
      <c r="I28" s="12">
        <f>SUMIF(G8:G27,"APPROVED",I8:I27)</f>
        <v>251642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1795811</v>
      </c>
    </row>
    <row r="32" spans="1:12" x14ac:dyDescent="0.3">
      <c r="A32" s="1" t="s">
        <v>18</v>
      </c>
      <c r="D32" s="13">
        <f>F28</f>
        <v>251642</v>
      </c>
    </row>
    <row r="33" spans="1:12" x14ac:dyDescent="0.3">
      <c r="A33" s="1" t="s">
        <v>19</v>
      </c>
      <c r="D33" s="13">
        <f>I28</f>
        <v>251642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1544169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</sheetData>
  <mergeCells count="15"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sqref="H8:H27" xr:uid="{7B077E3D-3D7F-4BC2-834D-AC6A84B1D786}">
      <formula1>"APPROVED,PENDING,REJECTED"</formula1>
    </dataValidation>
    <dataValidation type="list" allowBlank="1" showInputMessage="1" showErrorMessage="1" sqref="J8:J27" xr:uid="{B09A750A-AE94-442C-AD5E-F6FB4AFBC10F}">
      <formula1>"Cash,Mobile Money,Bank Transfer"</formula1>
    </dataValidation>
    <dataValidation type="list" allowBlank="1" showInputMessage="1" showErrorMessage="1" errorTitle="Invalid Entry" error="Please select APPROVED, PENDING, or REJECTED from the dropdown list." sqref="G8:G27" xr:uid="{2540E921-C097-4886-8D4B-9A43C169F8A4}">
      <formula1>"APPROVED,PENDING,REJECTED"</formula1>
    </dataValidation>
    <dataValidation type="list" allowBlank="1" showInputMessage="1" showErrorMessage="1" sqref="E8:E27" xr:uid="{C67AD376-1C19-4A47-A86A-EFBB055211F9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8E20-1CDD-435E-B5C6-8A83FE8115CB}">
  <dimension ref="A1:Q43"/>
  <sheetViews>
    <sheetView topLeftCell="A13" zoomScale="70" zoomScaleNormal="70" workbookViewId="0">
      <selection activeCell="C16" sqref="C16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'12-06-2026'!D36</f>
        <v>1544169</v>
      </c>
      <c r="D5" s="1" t="s">
        <v>70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/>
      <c r="C8" s="10"/>
      <c r="D8" s="10"/>
      <c r="E8" s="7"/>
      <c r="F8" s="9"/>
      <c r="G8" s="9"/>
      <c r="H8" s="7"/>
      <c r="I8" s="9">
        <f t="shared" ref="I8:I27" si="0">IF(OR(G8="REJECTED",G8=""),0,IF(OR(AND(G8="APPROVED",H8="APPROVED"),AND(G8="APPROVED",H8="")),F8,0))</f>
        <v>0</v>
      </c>
      <c r="J8" s="7"/>
      <c r="K8" s="7"/>
      <c r="L8" s="10"/>
    </row>
    <row r="9" spans="1:17" x14ac:dyDescent="0.3">
      <c r="A9" s="4">
        <v>2</v>
      </c>
      <c r="B9" s="8"/>
      <c r="C9" s="11"/>
      <c r="D9" s="11"/>
      <c r="E9" s="4"/>
      <c r="F9" s="5"/>
      <c r="G9" s="5"/>
      <c r="H9" s="4"/>
      <c r="I9" s="5">
        <f t="shared" si="0"/>
        <v>0</v>
      </c>
      <c r="J9" s="4"/>
      <c r="K9" s="4"/>
      <c r="L9" s="10"/>
    </row>
    <row r="10" spans="1:17" x14ac:dyDescent="0.3">
      <c r="A10" s="7">
        <v>3</v>
      </c>
      <c r="B10" s="8"/>
      <c r="C10" s="10"/>
      <c r="D10" s="10"/>
      <c r="E10" s="7"/>
      <c r="F10" s="9"/>
      <c r="G10" s="9"/>
      <c r="H10" s="7"/>
      <c r="I10" s="9">
        <f t="shared" si="0"/>
        <v>0</v>
      </c>
      <c r="J10" s="7"/>
      <c r="K10" s="7"/>
      <c r="L10" s="10"/>
    </row>
    <row r="11" spans="1:17" x14ac:dyDescent="0.3">
      <c r="A11" s="4">
        <v>4</v>
      </c>
      <c r="B11" s="8"/>
      <c r="C11" s="11"/>
      <c r="D11" s="11"/>
      <c r="E11" s="4"/>
      <c r="F11" s="5"/>
      <c r="G11" s="5"/>
      <c r="H11" s="4"/>
      <c r="I11" s="5">
        <f t="shared" si="0"/>
        <v>0</v>
      </c>
      <c r="J11" s="4"/>
      <c r="K11" s="4"/>
      <c r="L11" s="11"/>
    </row>
    <row r="12" spans="1:17" x14ac:dyDescent="0.3">
      <c r="A12" s="7">
        <v>5</v>
      </c>
      <c r="B12" s="8"/>
      <c r="C12" s="10"/>
      <c r="D12" s="10"/>
      <c r="E12" s="7"/>
      <c r="F12" s="9"/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27">
        <v>6</v>
      </c>
      <c r="B13" s="8"/>
      <c r="C13" s="11"/>
      <c r="D13" s="11"/>
      <c r="E13" s="4"/>
      <c r="F13" s="5"/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/>
      <c r="C14" s="22"/>
      <c r="D14" s="10"/>
      <c r="E14" s="7"/>
      <c r="F14" s="9"/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/>
      <c r="C15" s="11"/>
      <c r="D15" s="11"/>
      <c r="E15" s="4"/>
      <c r="F15" s="5"/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/>
      <c r="C16" s="10"/>
      <c r="D16" s="10"/>
      <c r="E16" s="4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/>
      <c r="C17" s="10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12</v>
      </c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13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0</v>
      </c>
      <c r="G28" s="12"/>
      <c r="H28" s="2"/>
      <c r="I28" s="12">
        <f>SUMIF(G8:G27,"APPROVED",I8:I27)</f>
        <v>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1544169</v>
      </c>
    </row>
    <row r="32" spans="1:12" x14ac:dyDescent="0.3">
      <c r="A32" s="1" t="s">
        <v>18</v>
      </c>
      <c r="D32" s="13">
        <f>F28</f>
        <v>0</v>
      </c>
    </row>
    <row r="33" spans="1:12" x14ac:dyDescent="0.3">
      <c r="A33" s="1" t="s">
        <v>19</v>
      </c>
      <c r="D33" s="13">
        <f>I28</f>
        <v>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1544169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</sheetData>
  <mergeCells count="15"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errorTitle="Invalid Entry" error="Please select APPROVED, PENDING, or REJECTED from the dropdown list." sqref="G8:G27" xr:uid="{37416E63-69C3-46E9-9025-2A58B9801E00}">
      <formula1>"APPROVED,PENDING,REJECTED"</formula1>
    </dataValidation>
    <dataValidation type="list" allowBlank="1" showInputMessage="1" showErrorMessage="1" sqref="J8:J27" xr:uid="{B75ED1F1-FF70-4477-A198-BC90DAA6713F}">
      <formula1>"Cash,Mobile Money,Bank Transfer"</formula1>
    </dataValidation>
    <dataValidation type="list" allowBlank="1" showInputMessage="1" showErrorMessage="1" sqref="H8:H27" xr:uid="{BFD8051C-FCA0-4E3C-993F-CAA5E808C235}">
      <formula1>"APPROVED,PENDING,REJECTED"</formula1>
    </dataValidation>
    <dataValidation type="list" allowBlank="1" showInputMessage="1" showErrorMessage="1" sqref="E8:E27" xr:uid="{4250FAFB-3EA2-49A1-B040-C8E84616B7CD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DB8D-58C8-40B3-BB8F-0B564CF0B49B}">
  <dimension ref="A1:Q43"/>
  <sheetViews>
    <sheetView topLeftCell="A9" zoomScale="70" zoomScaleNormal="70" workbookViewId="0">
      <selection activeCell="A13" sqref="A13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'13-06-2026'!D36</f>
        <v>1544169</v>
      </c>
      <c r="D5" s="1" t="s">
        <v>71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/>
      <c r="C8" s="10"/>
      <c r="D8" s="10"/>
      <c r="E8" s="7"/>
      <c r="F8" s="9"/>
      <c r="G8" s="9"/>
      <c r="H8" s="7"/>
      <c r="I8" s="9">
        <f t="shared" ref="I8:I27" si="0">IF(OR(G8="REJECTED",G8=""),0,IF(OR(AND(G8="APPROVED",H8="APPROVED"),AND(G8="APPROVED",H8="")),F8,0))</f>
        <v>0</v>
      </c>
      <c r="J8" s="7"/>
      <c r="K8" s="7"/>
      <c r="L8" s="10"/>
    </row>
    <row r="9" spans="1:17" x14ac:dyDescent="0.3">
      <c r="A9" s="4">
        <v>2</v>
      </c>
      <c r="B9" s="8"/>
      <c r="C9" s="11"/>
      <c r="D9" s="11"/>
      <c r="E9" s="4"/>
      <c r="F9" s="5"/>
      <c r="G9" s="5"/>
      <c r="H9" s="4"/>
      <c r="I9" s="5">
        <f t="shared" si="0"/>
        <v>0</v>
      </c>
      <c r="J9" s="4"/>
      <c r="K9" s="4"/>
      <c r="L9" s="10"/>
    </row>
    <row r="10" spans="1:17" x14ac:dyDescent="0.3">
      <c r="A10" s="7">
        <v>3</v>
      </c>
      <c r="B10" s="8"/>
      <c r="C10" s="10"/>
      <c r="D10" s="10"/>
      <c r="E10" s="7"/>
      <c r="F10" s="9"/>
      <c r="G10" s="9"/>
      <c r="H10" s="7"/>
      <c r="I10" s="9">
        <f t="shared" si="0"/>
        <v>0</v>
      </c>
      <c r="J10" s="7"/>
      <c r="K10" s="7"/>
      <c r="L10" s="10"/>
    </row>
    <row r="11" spans="1:17" x14ac:dyDescent="0.3">
      <c r="A11" s="4">
        <v>4</v>
      </c>
      <c r="B11" s="8"/>
      <c r="C11" s="11"/>
      <c r="D11" s="11"/>
      <c r="E11" s="4"/>
      <c r="F11" s="5"/>
      <c r="G11" s="5"/>
      <c r="H11" s="4"/>
      <c r="I11" s="5">
        <f t="shared" si="0"/>
        <v>0</v>
      </c>
      <c r="J11" s="4"/>
      <c r="K11" s="4"/>
      <c r="L11" s="11"/>
    </row>
    <row r="12" spans="1:17" x14ac:dyDescent="0.3">
      <c r="A12" s="7">
        <v>5</v>
      </c>
      <c r="B12" s="8"/>
      <c r="C12" s="10"/>
      <c r="D12" s="10"/>
      <c r="E12" s="7"/>
      <c r="F12" s="9"/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27">
        <v>6</v>
      </c>
      <c r="B13" s="8"/>
      <c r="C13" s="11"/>
      <c r="D13" s="11"/>
      <c r="E13" s="4"/>
      <c r="F13" s="5"/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/>
      <c r="C14" s="22"/>
      <c r="D14" s="10"/>
      <c r="E14" s="7"/>
      <c r="F14" s="9"/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/>
      <c r="C15" s="11"/>
      <c r="D15" s="11"/>
      <c r="E15" s="4"/>
      <c r="F15" s="5"/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/>
      <c r="C16" s="10"/>
      <c r="D16" s="10"/>
      <c r="E16" s="4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/>
      <c r="C17" s="10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12</v>
      </c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13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0</v>
      </c>
      <c r="G28" s="12"/>
      <c r="H28" s="2"/>
      <c r="I28" s="12">
        <f>SUMIF(G8:G27,"APPROVED",I8:I27)</f>
        <v>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1544169</v>
      </c>
    </row>
    <row r="32" spans="1:12" x14ac:dyDescent="0.3">
      <c r="A32" s="1" t="s">
        <v>18</v>
      </c>
      <c r="D32" s="13">
        <f>F28</f>
        <v>0</v>
      </c>
    </row>
    <row r="33" spans="1:12" x14ac:dyDescent="0.3">
      <c r="A33" s="1" t="s">
        <v>19</v>
      </c>
      <c r="D33" s="13">
        <f>I28</f>
        <v>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1544169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</sheetData>
  <mergeCells count="15"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sqref="H8:H27" xr:uid="{00F23A87-47EB-4314-A8A6-D64916869FC0}">
      <formula1>"APPROVED,PENDING,REJECTED"</formula1>
    </dataValidation>
    <dataValidation type="list" allowBlank="1" showInputMessage="1" showErrorMessage="1" sqref="J8:J27" xr:uid="{4CD6C69C-6C4A-4CC0-889D-34EDF976EB9C}">
      <formula1>"Cash,Mobile Money,Bank Transfer"</formula1>
    </dataValidation>
    <dataValidation type="list" allowBlank="1" showInputMessage="1" showErrorMessage="1" errorTitle="Invalid Entry" error="Please select APPROVED, PENDING, or REJECTED from the dropdown list." sqref="G8:G27" xr:uid="{3018586A-07E6-45B7-AD5E-76EE124D59C9}">
      <formula1>"APPROVED,PENDING,REJECTED"</formula1>
    </dataValidation>
    <dataValidation type="list" allowBlank="1" showInputMessage="1" showErrorMessage="1" sqref="E8:E27" xr:uid="{3831935A-74BC-40D3-A0C8-FB2CDDC40CCB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9304-6A2E-4C8F-B1A2-CD9863463E83}">
  <dimension ref="A1:Q38"/>
  <sheetViews>
    <sheetView topLeftCell="A2" zoomScale="70" zoomScaleNormal="70" workbookViewId="0">
      <selection activeCell="C21" sqref="C21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'14-06-2026'!D36</f>
        <v>1544169</v>
      </c>
      <c r="D5" s="1" t="s">
        <v>68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27"/>
      <c r="B8" s="8"/>
      <c r="C8" s="11"/>
      <c r="D8" s="11"/>
      <c r="E8" s="4"/>
      <c r="F8" s="5"/>
      <c r="G8" s="5"/>
      <c r="H8" s="4"/>
      <c r="I8" s="5">
        <f t="shared" ref="I8:I22" si="0">IF(OR(G8="REJECTED",G8=""),0,IF(OR(AND(G8="APPROVED",H8="APPROVED"),AND(G8="APPROVED",H8="")),F8,0))</f>
        <v>0</v>
      </c>
      <c r="J8" s="4"/>
      <c r="K8" s="4"/>
      <c r="L8" s="11"/>
    </row>
    <row r="9" spans="1:17" ht="19.2" customHeight="1" x14ac:dyDescent="0.3">
      <c r="A9" s="7"/>
      <c r="B9" s="8"/>
      <c r="C9" s="22"/>
      <c r="D9" s="10"/>
      <c r="E9" s="7"/>
      <c r="F9" s="9"/>
      <c r="G9" s="9"/>
      <c r="H9" s="7"/>
      <c r="I9" s="9">
        <f t="shared" si="0"/>
        <v>0</v>
      </c>
      <c r="J9" s="7"/>
      <c r="K9" s="7"/>
      <c r="L9" s="10"/>
      <c r="Q9" s="25"/>
    </row>
    <row r="10" spans="1:17" x14ac:dyDescent="0.3">
      <c r="A10" s="4"/>
      <c r="B10" s="8"/>
      <c r="C10" s="11"/>
      <c r="D10" s="11"/>
      <c r="E10" s="4"/>
      <c r="F10" s="5"/>
      <c r="G10" s="5"/>
      <c r="H10" s="4"/>
      <c r="I10" s="5">
        <f t="shared" si="0"/>
        <v>0</v>
      </c>
      <c r="J10" s="4"/>
      <c r="K10" s="4"/>
      <c r="L10" s="11"/>
    </row>
    <row r="11" spans="1:17" x14ac:dyDescent="0.3">
      <c r="A11" s="7"/>
      <c r="B11" s="8"/>
      <c r="C11" s="10"/>
      <c r="D11" s="10"/>
      <c r="E11" s="4"/>
      <c r="F11" s="9"/>
      <c r="G11" s="9"/>
      <c r="H11" s="7"/>
      <c r="I11" s="9">
        <f t="shared" si="0"/>
        <v>0</v>
      </c>
      <c r="J11" s="7"/>
      <c r="K11" s="7"/>
      <c r="L11" s="10"/>
    </row>
    <row r="12" spans="1:17" x14ac:dyDescent="0.3">
      <c r="A12" s="4"/>
      <c r="B12" s="8"/>
      <c r="C12" s="10"/>
      <c r="D12" s="11"/>
      <c r="E12" s="4"/>
      <c r="F12" s="5"/>
      <c r="G12" s="5"/>
      <c r="H12" s="4"/>
      <c r="I12" s="5">
        <f t="shared" si="0"/>
        <v>0</v>
      </c>
      <c r="J12" s="4"/>
      <c r="K12" s="4"/>
      <c r="L12" s="11"/>
    </row>
    <row r="13" spans="1:17" x14ac:dyDescent="0.3">
      <c r="A13" s="7"/>
      <c r="B13" s="8"/>
      <c r="C13" s="10"/>
      <c r="D13" s="10"/>
      <c r="E13" s="7"/>
      <c r="F13" s="9"/>
      <c r="G13" s="9"/>
      <c r="H13" s="7"/>
      <c r="I13" s="9">
        <f t="shared" si="0"/>
        <v>0</v>
      </c>
      <c r="J13" s="7"/>
      <c r="K13" s="7"/>
      <c r="L13" s="10"/>
    </row>
    <row r="14" spans="1:17" x14ac:dyDescent="0.3">
      <c r="A14" s="4"/>
      <c r="B14" s="8"/>
      <c r="C14" s="11"/>
      <c r="D14" s="11"/>
      <c r="E14" s="4"/>
      <c r="F14" s="5"/>
      <c r="G14" s="5"/>
      <c r="H14" s="4"/>
      <c r="I14" s="5">
        <f t="shared" si="0"/>
        <v>0</v>
      </c>
      <c r="J14" s="4"/>
      <c r="K14" s="4"/>
      <c r="L14" s="11"/>
    </row>
    <row r="15" spans="1:17" x14ac:dyDescent="0.3">
      <c r="A15" s="7"/>
      <c r="B15" s="8"/>
      <c r="C15" s="10"/>
      <c r="D15" s="10"/>
      <c r="E15" s="7"/>
      <c r="F15" s="9"/>
      <c r="G15" s="9"/>
      <c r="H15" s="7"/>
      <c r="I15" s="9">
        <f t="shared" si="0"/>
        <v>0</v>
      </c>
      <c r="J15" s="7"/>
      <c r="K15" s="7"/>
      <c r="L15" s="10"/>
    </row>
    <row r="16" spans="1:17" x14ac:dyDescent="0.3">
      <c r="A16" s="4"/>
      <c r="B16" s="6"/>
      <c r="C16" s="11"/>
      <c r="D16" s="11"/>
      <c r="E16" s="4"/>
      <c r="F16" s="5"/>
      <c r="G16" s="5"/>
      <c r="H16" s="4"/>
      <c r="I16" s="5">
        <f t="shared" si="0"/>
        <v>0</v>
      </c>
      <c r="J16" s="4"/>
      <c r="K16" s="4"/>
      <c r="L16" s="11"/>
    </row>
    <row r="17" spans="1:12" x14ac:dyDescent="0.3">
      <c r="A17" s="7"/>
      <c r="B17" s="8"/>
      <c r="C17" s="10"/>
      <c r="D17" s="10"/>
      <c r="E17" s="7"/>
      <c r="F17" s="9"/>
      <c r="G17" s="9"/>
      <c r="H17" s="7"/>
      <c r="I17" s="9">
        <f t="shared" si="0"/>
        <v>0</v>
      </c>
      <c r="J17" s="7"/>
      <c r="K17" s="7"/>
      <c r="L17" s="10"/>
    </row>
    <row r="18" spans="1:12" x14ac:dyDescent="0.3">
      <c r="A18" s="4"/>
      <c r="B18" s="6"/>
      <c r="C18" s="11"/>
      <c r="D18" s="11"/>
      <c r="E18" s="4"/>
      <c r="F18" s="5"/>
      <c r="G18" s="5"/>
      <c r="H18" s="4"/>
      <c r="I18" s="5">
        <f t="shared" si="0"/>
        <v>0</v>
      </c>
      <c r="J18" s="4"/>
      <c r="K18" s="4"/>
      <c r="L18" s="11"/>
    </row>
    <row r="19" spans="1:12" x14ac:dyDescent="0.3">
      <c r="A19" s="7"/>
      <c r="B19" s="8"/>
      <c r="C19" s="10"/>
      <c r="D19" s="10"/>
      <c r="E19" s="7"/>
      <c r="F19" s="9"/>
      <c r="G19" s="9"/>
      <c r="H19" s="7"/>
      <c r="I19" s="9">
        <f t="shared" si="0"/>
        <v>0</v>
      </c>
      <c r="J19" s="7"/>
      <c r="K19" s="7"/>
      <c r="L19" s="10"/>
    </row>
    <row r="20" spans="1:12" x14ac:dyDescent="0.3">
      <c r="A20" s="4"/>
      <c r="B20" s="6"/>
      <c r="C20" s="11"/>
      <c r="D20" s="11"/>
      <c r="E20" s="4"/>
      <c r="F20" s="5"/>
      <c r="G20" s="5"/>
      <c r="H20" s="4"/>
      <c r="I20" s="5">
        <f t="shared" si="0"/>
        <v>0</v>
      </c>
      <c r="J20" s="4"/>
      <c r="K20" s="4"/>
      <c r="L20" s="11"/>
    </row>
    <row r="21" spans="1:12" x14ac:dyDescent="0.3">
      <c r="A21" s="7"/>
      <c r="B21" s="8"/>
      <c r="C21" s="10"/>
      <c r="D21" s="10"/>
      <c r="E21" s="7"/>
      <c r="F21" s="9"/>
      <c r="G21" s="9"/>
      <c r="H21" s="7"/>
      <c r="I21" s="9">
        <f t="shared" si="0"/>
        <v>0</v>
      </c>
      <c r="J21" s="7"/>
      <c r="K21" s="7"/>
      <c r="L21" s="10"/>
    </row>
    <row r="22" spans="1:12" x14ac:dyDescent="0.3">
      <c r="A22" s="4"/>
      <c r="B22" s="6"/>
      <c r="C22" s="11"/>
      <c r="D22" s="11"/>
      <c r="E22" s="4"/>
      <c r="F22" s="5"/>
      <c r="G22" s="5"/>
      <c r="H22" s="4"/>
      <c r="I22" s="5">
        <f t="shared" si="0"/>
        <v>0</v>
      </c>
      <c r="J22" s="4"/>
      <c r="K22" s="4"/>
      <c r="L22" s="11"/>
    </row>
    <row r="23" spans="1:12" x14ac:dyDescent="0.3">
      <c r="A23" s="33" t="s">
        <v>16</v>
      </c>
      <c r="B23" s="34"/>
      <c r="C23" s="34"/>
      <c r="D23" s="34"/>
      <c r="E23" s="34"/>
      <c r="F23" s="12">
        <f>SUM(F8:F22)</f>
        <v>0</v>
      </c>
      <c r="G23" s="12"/>
      <c r="H23" s="2"/>
      <c r="I23" s="12">
        <f>SUMIF(G8:G22,"APPROVED",I8:I22)</f>
        <v>0</v>
      </c>
      <c r="J23" s="2"/>
      <c r="K23" s="2"/>
      <c r="L23" s="2"/>
    </row>
    <row r="25" spans="1:12" x14ac:dyDescent="0.3">
      <c r="A25" s="32" t="s">
        <v>17</v>
      </c>
      <c r="B25" s="31"/>
      <c r="C25" s="31"/>
      <c r="D25" s="31"/>
    </row>
    <row r="26" spans="1:12" x14ac:dyDescent="0.3">
      <c r="A26" s="1" t="s">
        <v>3</v>
      </c>
      <c r="D26" s="23">
        <f>B5</f>
        <v>1544169</v>
      </c>
    </row>
    <row r="27" spans="1:12" x14ac:dyDescent="0.3">
      <c r="A27" s="1" t="s">
        <v>18</v>
      </c>
      <c r="D27" s="13">
        <f>F23</f>
        <v>0</v>
      </c>
    </row>
    <row r="28" spans="1:12" x14ac:dyDescent="0.3">
      <c r="A28" s="1" t="s">
        <v>19</v>
      </c>
      <c r="D28" s="13">
        <f>I23</f>
        <v>0</v>
      </c>
    </row>
    <row r="29" spans="1:12" x14ac:dyDescent="0.3">
      <c r="A29" s="1" t="s">
        <v>20</v>
      </c>
      <c r="D29" s="14">
        <f>SUMIFS(F8:F22,G8:G22,"PENDING")+SUMIFS(F8:F22,G8:G22,"APPROVED",H8:H22,"PENDING")</f>
        <v>0</v>
      </c>
    </row>
    <row r="30" spans="1:12" x14ac:dyDescent="0.3">
      <c r="A30" s="1" t="s">
        <v>21</v>
      </c>
      <c r="D30" s="15">
        <f>SUMIF(G8:G22,"REJECTED",F8:F22)+SUMIFS(F8:F22,G8:G22,"APPROVED",H8:H22,"REJECTED")</f>
        <v>0</v>
      </c>
    </row>
    <row r="31" spans="1:12" x14ac:dyDescent="0.3">
      <c r="A31" s="16" t="s">
        <v>22</v>
      </c>
      <c r="B31" s="17"/>
      <c r="C31" s="17"/>
      <c r="D31" s="18">
        <f>D26-D28</f>
        <v>1544169</v>
      </c>
    </row>
    <row r="34" spans="1:12" x14ac:dyDescent="0.3">
      <c r="A34" s="28" t="s">
        <v>23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6" spans="1:12" x14ac:dyDescent="0.3">
      <c r="A36" s="1" t="s">
        <v>51</v>
      </c>
      <c r="B36" s="31"/>
      <c r="C36" s="31"/>
      <c r="D36" t="s">
        <v>25</v>
      </c>
      <c r="E36" s="31"/>
      <c r="F36" s="31"/>
      <c r="G36" t="s">
        <v>48</v>
      </c>
      <c r="H36" s="31" t="s">
        <v>57</v>
      </c>
      <c r="I36" s="31"/>
      <c r="J36" s="24" t="s">
        <v>26</v>
      </c>
      <c r="K36" s="31" t="s">
        <v>58</v>
      </c>
      <c r="L36" s="31"/>
    </row>
    <row r="37" spans="1:12" x14ac:dyDescent="0.3">
      <c r="A37" t="s">
        <v>56</v>
      </c>
      <c r="B37" s="31"/>
      <c r="C37" s="31"/>
      <c r="D37" t="s">
        <v>24</v>
      </c>
      <c r="E37" s="31"/>
      <c r="F37" s="31"/>
      <c r="G37" t="s">
        <v>24</v>
      </c>
      <c r="H37" s="36">
        <v>46184</v>
      </c>
      <c r="I37" s="31"/>
      <c r="J37" t="s">
        <v>24</v>
      </c>
      <c r="K37" s="36">
        <v>46184</v>
      </c>
      <c r="L37" s="31"/>
    </row>
    <row r="38" spans="1:12" x14ac:dyDescent="0.3">
      <c r="A38" s="35" t="s">
        <v>49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</sheetData>
  <mergeCells count="15">
    <mergeCell ref="A38:L38"/>
    <mergeCell ref="B36:C36"/>
    <mergeCell ref="E36:F36"/>
    <mergeCell ref="H36:I36"/>
    <mergeCell ref="K36:L36"/>
    <mergeCell ref="B37:C37"/>
    <mergeCell ref="E37:F37"/>
    <mergeCell ref="H37:I37"/>
    <mergeCell ref="K37:L37"/>
    <mergeCell ref="A34:L34"/>
    <mergeCell ref="A1:L1"/>
    <mergeCell ref="A2:L2"/>
    <mergeCell ref="A4:L4"/>
    <mergeCell ref="A23:E23"/>
    <mergeCell ref="A25:D25"/>
  </mergeCells>
  <dataValidations count="4">
    <dataValidation type="list" allowBlank="1" showInputMessage="1" showErrorMessage="1" errorTitle="Invalid Entry" error="Please select APPROVED, PENDING, or REJECTED from the dropdown list." sqref="G8:G22" xr:uid="{2C9C78B8-F8E6-4F5A-8080-609CA15B74DD}">
      <formula1>"APPROVED,PENDING,REJECTED"</formula1>
    </dataValidation>
    <dataValidation type="list" allowBlank="1" showInputMessage="1" showErrorMessage="1" sqref="J8:J22" xr:uid="{5158E60C-6812-481B-BCFD-2D25A51D1F07}">
      <formula1>"Cash,Mobile Money,Bank Transfer"</formula1>
    </dataValidation>
    <dataValidation type="list" allowBlank="1" showInputMessage="1" showErrorMessage="1" sqref="H8:H22" xr:uid="{34890C16-9BDD-4BB9-B5A4-A77EB31AC05E}">
      <formula1>"APPROVED,PENDING,REJECTED"</formula1>
    </dataValidation>
    <dataValidation type="list" allowBlank="1" showInputMessage="1" showErrorMessage="1" sqref="E8:E22" xr:uid="{EC363745-D4A4-47BE-92AA-949794B15FE2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D027-8792-4A06-AFC5-212F501738EA}">
  <dimension ref="A1:Q43"/>
  <sheetViews>
    <sheetView topLeftCell="A7" zoomScale="70" zoomScaleNormal="70" workbookViewId="0">
      <selection activeCell="K8" sqref="K8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'15-06-2026'!D31</f>
        <v>1544169</v>
      </c>
      <c r="D5" s="1" t="s">
        <v>72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>
        <v>46189</v>
      </c>
      <c r="C8" s="11" t="s">
        <v>42</v>
      </c>
      <c r="D8" s="11" t="s">
        <v>43</v>
      </c>
      <c r="E8" s="7" t="s">
        <v>73</v>
      </c>
      <c r="F8" s="5">
        <v>64370</v>
      </c>
      <c r="G8" s="9" t="s">
        <v>46</v>
      </c>
      <c r="H8" s="7" t="s">
        <v>46</v>
      </c>
      <c r="I8" s="9">
        <f t="shared" ref="I8:I27" si="0">IF(OR(G8="REJECTED",G8=""),0,IF(OR(AND(G8="APPROVED",H8="APPROVED"),AND(G8="APPROVED",H8="")),F8,0))</f>
        <v>64370</v>
      </c>
      <c r="J8" s="7" t="s">
        <v>31</v>
      </c>
      <c r="K8" s="7"/>
      <c r="L8" s="10"/>
    </row>
    <row r="9" spans="1:17" x14ac:dyDescent="0.3">
      <c r="A9" s="4">
        <v>2</v>
      </c>
      <c r="B9" s="8">
        <v>46189</v>
      </c>
      <c r="C9" s="10" t="s">
        <v>61</v>
      </c>
      <c r="D9" s="10" t="s">
        <v>62</v>
      </c>
      <c r="E9" s="4" t="s">
        <v>36</v>
      </c>
      <c r="F9" s="9">
        <v>5500</v>
      </c>
      <c r="G9" s="5" t="s">
        <v>46</v>
      </c>
      <c r="H9" s="4" t="s">
        <v>46</v>
      </c>
      <c r="I9" s="5">
        <f t="shared" si="0"/>
        <v>5500</v>
      </c>
      <c r="J9" s="4" t="s">
        <v>31</v>
      </c>
      <c r="K9" s="4"/>
      <c r="L9" s="10"/>
    </row>
    <row r="10" spans="1:17" x14ac:dyDescent="0.3">
      <c r="A10" s="7">
        <v>3</v>
      </c>
      <c r="B10" s="8">
        <v>46189</v>
      </c>
      <c r="C10" s="11" t="s">
        <v>63</v>
      </c>
      <c r="D10" s="11" t="s">
        <v>64</v>
      </c>
      <c r="E10" s="7" t="s">
        <v>65</v>
      </c>
      <c r="F10" s="5">
        <v>3100</v>
      </c>
      <c r="G10" s="9" t="s">
        <v>46</v>
      </c>
      <c r="H10" s="7" t="s">
        <v>46</v>
      </c>
      <c r="I10" s="9">
        <f t="shared" si="0"/>
        <v>3100</v>
      </c>
      <c r="J10" s="7" t="s">
        <v>31</v>
      </c>
      <c r="K10" s="7"/>
      <c r="L10" s="10"/>
    </row>
    <row r="11" spans="1:17" x14ac:dyDescent="0.3">
      <c r="A11" s="4">
        <v>4</v>
      </c>
      <c r="B11" s="8">
        <v>46189</v>
      </c>
      <c r="C11" s="10" t="s">
        <v>66</v>
      </c>
      <c r="D11" s="10" t="s">
        <v>67</v>
      </c>
      <c r="E11" s="4" t="s">
        <v>65</v>
      </c>
      <c r="F11" s="9">
        <v>10200</v>
      </c>
      <c r="G11" s="5" t="s">
        <v>46</v>
      </c>
      <c r="H11" s="4" t="s">
        <v>46</v>
      </c>
      <c r="I11" s="5">
        <f t="shared" si="0"/>
        <v>10200</v>
      </c>
      <c r="J11" s="4" t="s">
        <v>31</v>
      </c>
      <c r="K11" s="4"/>
      <c r="L11" s="11"/>
    </row>
    <row r="12" spans="1:17" x14ac:dyDescent="0.3">
      <c r="A12" s="7">
        <v>5</v>
      </c>
      <c r="B12" s="8"/>
      <c r="C12" s="10"/>
      <c r="D12" s="10"/>
      <c r="E12" s="7"/>
      <c r="F12" s="9"/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26">
        <v>6</v>
      </c>
      <c r="B13" s="8"/>
      <c r="C13" s="11"/>
      <c r="D13" s="11"/>
      <c r="E13" s="4"/>
      <c r="F13" s="5"/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/>
      <c r="C14" s="22"/>
      <c r="D14" s="10"/>
      <c r="E14" s="7"/>
      <c r="F14" s="9"/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/>
      <c r="C15" s="11"/>
      <c r="D15" s="11"/>
      <c r="E15" s="4"/>
      <c r="F15" s="5"/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/>
      <c r="C16" s="10"/>
      <c r="D16" s="10"/>
      <c r="E16" s="4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/>
      <c r="C17" s="10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12</v>
      </c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13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83170</v>
      </c>
      <c r="G28" s="12"/>
      <c r="H28" s="2"/>
      <c r="I28" s="12">
        <f>SUMIF(G8:G27,"APPROVED",I8:I27)</f>
        <v>83170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1544169</v>
      </c>
    </row>
    <row r="32" spans="1:12" x14ac:dyDescent="0.3">
      <c r="A32" s="1" t="s">
        <v>18</v>
      </c>
      <c r="D32" s="13">
        <f>F28</f>
        <v>83170</v>
      </c>
    </row>
    <row r="33" spans="1:12" x14ac:dyDescent="0.3">
      <c r="A33" s="1" t="s">
        <v>19</v>
      </c>
      <c r="D33" s="13">
        <f>I28</f>
        <v>83170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1460999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</sheetData>
  <mergeCells count="15"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sqref="H8:H27" xr:uid="{FD81C27B-045D-49AF-9F0F-4E2BAEEC5069}">
      <formula1>"APPROVED,PENDING,REJECTED"</formula1>
    </dataValidation>
    <dataValidation type="list" allowBlank="1" showInputMessage="1" showErrorMessage="1" sqref="J8:J27" xr:uid="{D2242814-5414-4C92-B9E4-2DCE379BC235}">
      <formula1>"Cash,Mobile Money,Bank Transfer"</formula1>
    </dataValidation>
    <dataValidation type="list" allowBlank="1" showInputMessage="1" showErrorMessage="1" errorTitle="Invalid Entry" error="Please select APPROVED, PENDING, or REJECTED from the dropdown list." sqref="G8:G27" xr:uid="{923CFBAE-58B6-4BD5-8EC2-08F045AB02BF}">
      <formula1>"APPROVED,PENDING,REJECTED"</formula1>
    </dataValidation>
    <dataValidation type="list" allowBlank="1" showInputMessage="1" showErrorMessage="1" sqref="E8:E27" xr:uid="{A971AC44-F2BB-4DFB-9B2A-07AADFA092A3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F020-958F-409A-B6C2-C427B29F2668}">
  <dimension ref="A1:Q49"/>
  <sheetViews>
    <sheetView topLeftCell="A57" zoomScale="70" zoomScaleNormal="70" workbookViewId="0">
      <selection activeCell="B50" sqref="B50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950000000000003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'16-06-2026'!D36</f>
        <v>1460999</v>
      </c>
      <c r="D5" s="1" t="s">
        <v>50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/>
      <c r="C8" s="10"/>
      <c r="D8" s="10"/>
      <c r="E8" s="7"/>
      <c r="F8" s="9"/>
      <c r="G8" s="9"/>
      <c r="H8" s="7"/>
      <c r="I8" s="9">
        <f t="shared" ref="I8:I27" si="0">IF(OR(G8="REJECTED",G8=""),0,IF(OR(AND(G8="APPROVED",H8="APPROVED"),AND(G8="APPROVED",H8="")),F8,0))</f>
        <v>0</v>
      </c>
      <c r="J8" s="7"/>
      <c r="K8" s="7"/>
      <c r="L8" s="10"/>
    </row>
    <row r="9" spans="1:17" x14ac:dyDescent="0.3">
      <c r="A9" s="4">
        <v>2</v>
      </c>
      <c r="B9" s="8"/>
      <c r="C9" s="11"/>
      <c r="D9" s="11"/>
      <c r="E9" s="4"/>
      <c r="F9" s="5"/>
      <c r="G9" s="5"/>
      <c r="H9" s="4"/>
      <c r="I9" s="5">
        <f t="shared" si="0"/>
        <v>0</v>
      </c>
      <c r="J9" s="4"/>
      <c r="K9" s="4"/>
      <c r="L9" s="10"/>
    </row>
    <row r="10" spans="1:17" x14ac:dyDescent="0.3">
      <c r="A10" s="7">
        <v>3</v>
      </c>
      <c r="B10" s="8"/>
      <c r="C10" s="10"/>
      <c r="D10" s="10"/>
      <c r="E10" s="7"/>
      <c r="F10" s="9"/>
      <c r="G10" s="9"/>
      <c r="H10" s="7"/>
      <c r="I10" s="9">
        <f t="shared" si="0"/>
        <v>0</v>
      </c>
      <c r="J10" s="7"/>
      <c r="K10" s="7"/>
      <c r="L10" s="10"/>
    </row>
    <row r="11" spans="1:17" x14ac:dyDescent="0.3">
      <c r="A11" s="4">
        <v>4</v>
      </c>
      <c r="B11" s="8"/>
      <c r="C11" s="11"/>
      <c r="D11" s="11"/>
      <c r="E11" s="4"/>
      <c r="F11" s="5"/>
      <c r="G11" s="5"/>
      <c r="H11" s="4"/>
      <c r="I11" s="5">
        <f t="shared" si="0"/>
        <v>0</v>
      </c>
      <c r="J11" s="4"/>
      <c r="K11" s="4"/>
      <c r="L11" s="11"/>
    </row>
    <row r="12" spans="1:17" x14ac:dyDescent="0.3">
      <c r="A12" s="7">
        <v>5</v>
      </c>
      <c r="B12" s="8"/>
      <c r="C12" s="10"/>
      <c r="D12" s="10"/>
      <c r="E12" s="7"/>
      <c r="F12" s="9"/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4">
        <v>6</v>
      </c>
      <c r="B13" s="8"/>
      <c r="C13" s="11"/>
      <c r="D13" s="11"/>
      <c r="E13" s="4"/>
      <c r="F13" s="5"/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/>
      <c r="C14" s="22"/>
      <c r="D14" s="10"/>
      <c r="E14" s="7"/>
      <c r="F14" s="9"/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/>
      <c r="C15" s="11"/>
      <c r="D15" s="11"/>
      <c r="E15" s="4"/>
      <c r="F15" s="5"/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/>
      <c r="C16" s="10"/>
      <c r="D16" s="10"/>
      <c r="E16" s="4"/>
      <c r="F16" s="9"/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/>
      <c r="C17" s="10"/>
      <c r="D17" s="11"/>
      <c r="E17" s="4"/>
      <c r="F17" s="5"/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/>
      <c r="C18" s="10"/>
      <c r="D18" s="10"/>
      <c r="E18" s="7"/>
      <c r="F18" s="9"/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>
        <v>12</v>
      </c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>
        <v>13</v>
      </c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>
        <v>14</v>
      </c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>
        <v>15</v>
      </c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>
        <v>16</v>
      </c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>
        <v>17</v>
      </c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>
        <v>18</v>
      </c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>
        <v>19</v>
      </c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>
        <v>20</v>
      </c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0</v>
      </c>
      <c r="G28" s="12"/>
      <c r="H28" s="2"/>
      <c r="I28" s="12">
        <f>SUMIF(G8:G27,"APPROVED",I8:I27)</f>
        <v>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1460999</v>
      </c>
    </row>
    <row r="32" spans="1:12" x14ac:dyDescent="0.3">
      <c r="A32" s="1" t="s">
        <v>18</v>
      </c>
      <c r="D32" s="13">
        <f>F28</f>
        <v>0</v>
      </c>
    </row>
    <row r="33" spans="1:12" x14ac:dyDescent="0.3">
      <c r="A33" s="1" t="s">
        <v>19</v>
      </c>
      <c r="D33" s="13">
        <f>I28</f>
        <v>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1460999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9" spans="1:2" x14ac:dyDescent="0.3">
      <c r="A49" t="s">
        <v>81</v>
      </c>
      <c r="B49">
        <v>905850</v>
      </c>
    </row>
  </sheetData>
  <mergeCells count="15">
    <mergeCell ref="A39:L39"/>
    <mergeCell ref="A1:L1"/>
    <mergeCell ref="A2:L2"/>
    <mergeCell ref="A4:L4"/>
    <mergeCell ref="A28:E28"/>
    <mergeCell ref="A30:D30"/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</mergeCells>
  <dataValidations count="4">
    <dataValidation type="list" allowBlank="1" showInputMessage="1" showErrorMessage="1" errorTitle="Invalid Entry" error="Please select APPROVED, PENDING, or REJECTED from the dropdown list." sqref="G8:G27" xr:uid="{D59FF77B-7C66-4957-A698-8BA38D6FC1CB}">
      <formula1>"APPROVED,PENDING,REJECTED"</formula1>
    </dataValidation>
    <dataValidation type="list" allowBlank="1" showInputMessage="1" showErrorMessage="1" sqref="J8:J27" xr:uid="{DB6A0170-15EF-45C0-8D05-9CF205DE60F8}">
      <formula1>"Cash,Mobile Money,Bank Transfer"</formula1>
    </dataValidation>
    <dataValidation type="list" allowBlank="1" showInputMessage="1" showErrorMessage="1" sqref="H8:H27" xr:uid="{75DA8181-3795-4697-A021-9BAAE2315136}">
      <formula1>"APPROVED,PENDING,REJECTED"</formula1>
    </dataValidation>
    <dataValidation type="list" allowBlank="1" showInputMessage="1" showErrorMessage="1" sqref="E8:E27" xr:uid="{722BF8E0-F2A8-4533-9D01-30235C169846}">
      <formula1>"Client Expense,Communication,Miscellaneous,Supplies,Transport,Utilities"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0879-F314-4660-B568-8FAF679DB1DA}">
  <dimension ref="A1:Q49"/>
  <sheetViews>
    <sheetView tabSelected="1" zoomScale="70" zoomScaleNormal="70" workbookViewId="0">
      <selection activeCell="G17" sqref="G17"/>
    </sheetView>
  </sheetViews>
  <sheetFormatPr defaultRowHeight="15.6" x14ac:dyDescent="0.3"/>
  <cols>
    <col min="1" max="1" width="26" customWidth="1"/>
    <col min="2" max="2" width="13.6328125" customWidth="1"/>
    <col min="3" max="3" width="62.81640625" customWidth="1"/>
    <col min="4" max="4" width="37.36328125" customWidth="1"/>
    <col min="5" max="5" width="25.7265625" customWidth="1"/>
    <col min="6" max="6" width="21.1796875" customWidth="1"/>
    <col min="7" max="8" width="15.1796875" customWidth="1"/>
    <col min="9" max="9" width="21.1796875" customWidth="1"/>
    <col min="10" max="10" width="16.6328125" customWidth="1"/>
    <col min="11" max="11" width="15.1796875" customWidth="1"/>
    <col min="12" max="12" width="18.1796875" customWidth="1"/>
    <col min="13" max="13" width="12.6328125" customWidth="1"/>
    <col min="17" max="17" width="16.7265625" customWidth="1"/>
  </cols>
  <sheetData>
    <row r="1" spans="1:17" ht="34.799999999999997" customHeight="1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7" x14ac:dyDescent="0.3">
      <c r="A2" s="32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7" x14ac:dyDescent="0.3">
      <c r="A4" s="29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7" x14ac:dyDescent="0.3">
      <c r="A5" s="1" t="s">
        <v>3</v>
      </c>
      <c r="B5" s="21">
        <f>'16-06-2026'!D36</f>
        <v>1460999</v>
      </c>
      <c r="D5" s="1" t="s">
        <v>50</v>
      </c>
      <c r="H5" s="1" t="s">
        <v>4</v>
      </c>
      <c r="I5" t="s">
        <v>54</v>
      </c>
      <c r="Q5" s="19"/>
    </row>
    <row r="6" spans="1:17" ht="17.399999999999999" x14ac:dyDescent="0.3">
      <c r="Q6" s="20"/>
    </row>
    <row r="7" spans="1:17" ht="40.049999999999997" customHeight="1" x14ac:dyDescent="0.3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47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</row>
    <row r="8" spans="1:17" x14ac:dyDescent="0.3">
      <c r="A8" s="7">
        <v>1</v>
      </c>
      <c r="B8" s="8">
        <v>46192</v>
      </c>
      <c r="C8" s="10" t="s">
        <v>82</v>
      </c>
      <c r="D8" s="10" t="s">
        <v>60</v>
      </c>
      <c r="E8" s="7" t="s">
        <v>34</v>
      </c>
      <c r="F8" s="9">
        <v>2677</v>
      </c>
      <c r="G8" s="9"/>
      <c r="H8" s="7"/>
      <c r="I8" s="9">
        <f t="shared" ref="I8:I27" si="0">IF(OR(G8="REJECTED",G8=""),0,IF(OR(AND(G8="APPROVED",H8="APPROVED"),AND(G8="APPROVED",H8="")),F8,0))</f>
        <v>0</v>
      </c>
      <c r="J8" s="7"/>
      <c r="K8" s="7"/>
      <c r="L8" s="10"/>
    </row>
    <row r="9" spans="1:17" x14ac:dyDescent="0.3">
      <c r="A9" s="4">
        <v>2</v>
      </c>
      <c r="B9" s="8">
        <v>46192</v>
      </c>
      <c r="C9" s="11" t="s">
        <v>83</v>
      </c>
      <c r="D9" s="11" t="s">
        <v>60</v>
      </c>
      <c r="E9" s="4" t="s">
        <v>34</v>
      </c>
      <c r="F9" s="5">
        <v>24342</v>
      </c>
      <c r="G9" s="5"/>
      <c r="H9" s="4"/>
      <c r="I9" s="5">
        <f t="shared" si="0"/>
        <v>0</v>
      </c>
      <c r="J9" s="4"/>
      <c r="K9" s="4"/>
      <c r="L9" s="10"/>
    </row>
    <row r="10" spans="1:17" x14ac:dyDescent="0.3">
      <c r="A10" s="7">
        <v>3</v>
      </c>
      <c r="B10" s="8">
        <v>46192</v>
      </c>
      <c r="C10" s="10" t="s">
        <v>84</v>
      </c>
      <c r="D10" s="10" t="s">
        <v>60</v>
      </c>
      <c r="E10" s="7" t="s">
        <v>34</v>
      </c>
      <c r="F10" s="9">
        <v>26095</v>
      </c>
      <c r="G10" s="9"/>
      <c r="H10" s="7"/>
      <c r="I10" s="9">
        <f t="shared" si="0"/>
        <v>0</v>
      </c>
      <c r="J10" s="7"/>
      <c r="K10" s="7"/>
      <c r="L10" s="10"/>
    </row>
    <row r="11" spans="1:17" x14ac:dyDescent="0.3">
      <c r="A11" s="4">
        <v>4</v>
      </c>
      <c r="B11" s="8">
        <v>46192</v>
      </c>
      <c r="C11" s="11" t="s">
        <v>85</v>
      </c>
      <c r="D11" s="11" t="s">
        <v>86</v>
      </c>
      <c r="E11" s="4" t="s">
        <v>36</v>
      </c>
      <c r="F11" s="5">
        <v>45000</v>
      </c>
      <c r="G11" s="5"/>
      <c r="H11" s="4"/>
      <c r="I11" s="5">
        <f t="shared" si="0"/>
        <v>0</v>
      </c>
      <c r="J11" s="4"/>
      <c r="K11" s="4"/>
      <c r="L11" s="11"/>
    </row>
    <row r="12" spans="1:17" x14ac:dyDescent="0.3">
      <c r="A12" s="7">
        <v>5</v>
      </c>
      <c r="B12" s="8">
        <v>46192</v>
      </c>
      <c r="C12" s="10" t="s">
        <v>87</v>
      </c>
      <c r="D12" s="10" t="s">
        <v>67</v>
      </c>
      <c r="E12" s="7" t="s">
        <v>65</v>
      </c>
      <c r="F12" s="9">
        <v>1000</v>
      </c>
      <c r="G12" s="9"/>
      <c r="H12" s="7"/>
      <c r="I12" s="9">
        <f t="shared" si="0"/>
        <v>0</v>
      </c>
      <c r="J12" s="7"/>
      <c r="K12" s="7"/>
      <c r="L12" s="10"/>
    </row>
    <row r="13" spans="1:17" x14ac:dyDescent="0.3">
      <c r="A13" s="4">
        <v>6</v>
      </c>
      <c r="B13" s="8">
        <v>46192</v>
      </c>
      <c r="C13" s="11" t="s">
        <v>88</v>
      </c>
      <c r="D13" s="11" t="s">
        <v>62</v>
      </c>
      <c r="E13" s="4" t="s">
        <v>36</v>
      </c>
      <c r="F13" s="5">
        <v>5500</v>
      </c>
      <c r="G13" s="5"/>
      <c r="H13" s="4"/>
      <c r="I13" s="5">
        <f t="shared" si="0"/>
        <v>0</v>
      </c>
      <c r="J13" s="4"/>
      <c r="K13" s="4"/>
      <c r="L13" s="11"/>
    </row>
    <row r="14" spans="1:17" ht="19.2" customHeight="1" x14ac:dyDescent="0.3">
      <c r="A14" s="7">
        <v>7</v>
      </c>
      <c r="B14" s="8">
        <v>46192</v>
      </c>
      <c r="C14" s="22" t="s">
        <v>89</v>
      </c>
      <c r="D14" s="10" t="s">
        <v>57</v>
      </c>
      <c r="E14" s="7" t="s">
        <v>44</v>
      </c>
      <c r="F14" s="9">
        <v>15000</v>
      </c>
      <c r="G14" s="9"/>
      <c r="H14" s="7"/>
      <c r="I14" s="9">
        <f t="shared" si="0"/>
        <v>0</v>
      </c>
      <c r="J14" s="7"/>
      <c r="K14" s="7"/>
      <c r="L14" s="10"/>
      <c r="Q14" s="25"/>
    </row>
    <row r="15" spans="1:17" x14ac:dyDescent="0.3">
      <c r="A15" s="4">
        <v>8</v>
      </c>
      <c r="B15" s="8">
        <v>46192</v>
      </c>
      <c r="C15" s="11" t="s">
        <v>90</v>
      </c>
      <c r="D15" s="11" t="s">
        <v>91</v>
      </c>
      <c r="E15" s="4" t="s">
        <v>44</v>
      </c>
      <c r="F15" s="5">
        <v>15000</v>
      </c>
      <c r="G15" s="5"/>
      <c r="H15" s="4"/>
      <c r="I15" s="5">
        <f t="shared" si="0"/>
        <v>0</v>
      </c>
      <c r="J15" s="4"/>
      <c r="K15" s="4"/>
      <c r="L15" s="11"/>
    </row>
    <row r="16" spans="1:17" x14ac:dyDescent="0.3">
      <c r="A16" s="7">
        <v>9</v>
      </c>
      <c r="B16" s="8">
        <v>46192</v>
      </c>
      <c r="C16" s="10" t="s">
        <v>92</v>
      </c>
      <c r="D16" s="10" t="s">
        <v>91</v>
      </c>
      <c r="E16" s="4" t="s">
        <v>44</v>
      </c>
      <c r="F16" s="9">
        <v>5000</v>
      </c>
      <c r="G16" s="9"/>
      <c r="H16" s="7"/>
      <c r="I16" s="9">
        <f t="shared" si="0"/>
        <v>0</v>
      </c>
      <c r="J16" s="7"/>
      <c r="K16" s="7"/>
      <c r="L16" s="10"/>
    </row>
    <row r="17" spans="1:12" x14ac:dyDescent="0.3">
      <c r="A17" s="4">
        <v>10</v>
      </c>
      <c r="B17" s="8">
        <v>46192</v>
      </c>
      <c r="C17" s="10" t="s">
        <v>93</v>
      </c>
      <c r="D17" s="11" t="s">
        <v>94</v>
      </c>
      <c r="E17" s="4" t="s">
        <v>73</v>
      </c>
      <c r="F17" s="5">
        <v>170000</v>
      </c>
      <c r="G17" s="5"/>
      <c r="H17" s="4"/>
      <c r="I17" s="5">
        <f t="shared" si="0"/>
        <v>0</v>
      </c>
      <c r="J17" s="4"/>
      <c r="K17" s="4"/>
      <c r="L17" s="11"/>
    </row>
    <row r="18" spans="1:12" x14ac:dyDescent="0.3">
      <c r="A18" s="7">
        <v>11</v>
      </c>
      <c r="B18" s="8">
        <v>46192</v>
      </c>
      <c r="C18" s="10" t="s">
        <v>95</v>
      </c>
      <c r="D18" s="10" t="s">
        <v>67</v>
      </c>
      <c r="E18" s="7" t="s">
        <v>65</v>
      </c>
      <c r="F18" s="9">
        <v>1000</v>
      </c>
      <c r="G18" s="9"/>
      <c r="H18" s="7"/>
      <c r="I18" s="9">
        <f t="shared" si="0"/>
        <v>0</v>
      </c>
      <c r="J18" s="7"/>
      <c r="K18" s="7"/>
      <c r="L18" s="10"/>
    </row>
    <row r="19" spans="1:12" x14ac:dyDescent="0.3">
      <c r="A19" s="4"/>
      <c r="B19" s="8"/>
      <c r="C19" s="11"/>
      <c r="D19" s="11"/>
      <c r="E19" s="4"/>
      <c r="F19" s="5"/>
      <c r="G19" s="5"/>
      <c r="H19" s="4"/>
      <c r="I19" s="5">
        <f t="shared" si="0"/>
        <v>0</v>
      </c>
      <c r="J19" s="4"/>
      <c r="K19" s="4"/>
      <c r="L19" s="11"/>
    </row>
    <row r="20" spans="1:12" x14ac:dyDescent="0.3">
      <c r="A20" s="7"/>
      <c r="B20" s="8"/>
      <c r="C20" s="10"/>
      <c r="D20" s="10"/>
      <c r="E20" s="7"/>
      <c r="F20" s="9"/>
      <c r="G20" s="9"/>
      <c r="H20" s="7"/>
      <c r="I20" s="9">
        <f t="shared" si="0"/>
        <v>0</v>
      </c>
      <c r="J20" s="7"/>
      <c r="K20" s="7"/>
      <c r="L20" s="10"/>
    </row>
    <row r="21" spans="1:12" x14ac:dyDescent="0.3">
      <c r="A21" s="4"/>
      <c r="B21" s="6"/>
      <c r="C21" s="11"/>
      <c r="D21" s="11"/>
      <c r="E21" s="4"/>
      <c r="F21" s="5"/>
      <c r="G21" s="5"/>
      <c r="H21" s="4"/>
      <c r="I21" s="5">
        <f t="shared" si="0"/>
        <v>0</v>
      </c>
      <c r="J21" s="4"/>
      <c r="K21" s="4"/>
      <c r="L21" s="11"/>
    </row>
    <row r="22" spans="1:12" x14ac:dyDescent="0.3">
      <c r="A22" s="7"/>
      <c r="B22" s="8"/>
      <c r="C22" s="10"/>
      <c r="D22" s="10"/>
      <c r="E22" s="7"/>
      <c r="F22" s="9"/>
      <c r="G22" s="9"/>
      <c r="H22" s="7"/>
      <c r="I22" s="9">
        <f t="shared" si="0"/>
        <v>0</v>
      </c>
      <c r="J22" s="7"/>
      <c r="K22" s="7"/>
      <c r="L22" s="10"/>
    </row>
    <row r="23" spans="1:12" x14ac:dyDescent="0.3">
      <c r="A23" s="4"/>
      <c r="B23" s="6"/>
      <c r="C23" s="11"/>
      <c r="D23" s="11"/>
      <c r="E23" s="4"/>
      <c r="F23" s="5"/>
      <c r="G23" s="5"/>
      <c r="H23" s="4"/>
      <c r="I23" s="5">
        <f t="shared" si="0"/>
        <v>0</v>
      </c>
      <c r="J23" s="4"/>
      <c r="K23" s="4"/>
      <c r="L23" s="11"/>
    </row>
    <row r="24" spans="1:12" x14ac:dyDescent="0.3">
      <c r="A24" s="7"/>
      <c r="B24" s="8"/>
      <c r="C24" s="10"/>
      <c r="D24" s="10"/>
      <c r="E24" s="7"/>
      <c r="F24" s="9"/>
      <c r="G24" s="9"/>
      <c r="H24" s="7"/>
      <c r="I24" s="9">
        <f t="shared" si="0"/>
        <v>0</v>
      </c>
      <c r="J24" s="7"/>
      <c r="K24" s="7"/>
      <c r="L24" s="10"/>
    </row>
    <row r="25" spans="1:12" x14ac:dyDescent="0.3">
      <c r="A25" s="4"/>
      <c r="B25" s="6"/>
      <c r="C25" s="11"/>
      <c r="D25" s="11"/>
      <c r="E25" s="4"/>
      <c r="F25" s="5"/>
      <c r="G25" s="5"/>
      <c r="H25" s="4"/>
      <c r="I25" s="5">
        <f t="shared" si="0"/>
        <v>0</v>
      </c>
      <c r="J25" s="4"/>
      <c r="K25" s="4"/>
      <c r="L25" s="11"/>
    </row>
    <row r="26" spans="1:12" x14ac:dyDescent="0.3">
      <c r="A26" s="7"/>
      <c r="B26" s="8"/>
      <c r="C26" s="10"/>
      <c r="D26" s="10"/>
      <c r="E26" s="7"/>
      <c r="F26" s="9"/>
      <c r="G26" s="9"/>
      <c r="H26" s="7"/>
      <c r="I26" s="9">
        <f t="shared" si="0"/>
        <v>0</v>
      </c>
      <c r="J26" s="7"/>
      <c r="K26" s="7"/>
      <c r="L26" s="10"/>
    </row>
    <row r="27" spans="1:12" x14ac:dyDescent="0.3">
      <c r="A27" s="4"/>
      <c r="B27" s="6"/>
      <c r="C27" s="11"/>
      <c r="D27" s="11"/>
      <c r="E27" s="4"/>
      <c r="F27" s="5"/>
      <c r="G27" s="5"/>
      <c r="H27" s="4"/>
      <c r="I27" s="5">
        <f t="shared" si="0"/>
        <v>0</v>
      </c>
      <c r="J27" s="4"/>
      <c r="K27" s="4"/>
      <c r="L27" s="11"/>
    </row>
    <row r="28" spans="1:12" x14ac:dyDescent="0.3">
      <c r="A28" s="33" t="s">
        <v>16</v>
      </c>
      <c r="B28" s="34"/>
      <c r="C28" s="34"/>
      <c r="D28" s="34"/>
      <c r="E28" s="34"/>
      <c r="F28" s="12">
        <f>SUM(F8:F27)</f>
        <v>310614</v>
      </c>
      <c r="G28" s="12"/>
      <c r="H28" s="2"/>
      <c r="I28" s="12">
        <f>SUMIF(G8:G27,"APPROVED",I8:I27)</f>
        <v>0</v>
      </c>
      <c r="J28" s="2"/>
      <c r="K28" s="2"/>
      <c r="L28" s="2"/>
    </row>
    <row r="30" spans="1:12" x14ac:dyDescent="0.3">
      <c r="A30" s="32" t="s">
        <v>17</v>
      </c>
      <c r="B30" s="31"/>
      <c r="C30" s="31"/>
      <c r="D30" s="31"/>
    </row>
    <row r="31" spans="1:12" x14ac:dyDescent="0.3">
      <c r="A31" s="1" t="s">
        <v>3</v>
      </c>
      <c r="D31" s="23">
        <f>B5</f>
        <v>1460999</v>
      </c>
    </row>
    <row r="32" spans="1:12" x14ac:dyDescent="0.3">
      <c r="A32" s="1" t="s">
        <v>18</v>
      </c>
      <c r="D32" s="13">
        <f>F28</f>
        <v>310614</v>
      </c>
    </row>
    <row r="33" spans="1:12" x14ac:dyDescent="0.3">
      <c r="A33" s="1" t="s">
        <v>19</v>
      </c>
      <c r="D33" s="13">
        <f>I28</f>
        <v>0</v>
      </c>
    </row>
    <row r="34" spans="1:12" x14ac:dyDescent="0.3">
      <c r="A34" s="1" t="s">
        <v>20</v>
      </c>
      <c r="D34" s="14">
        <f>SUMIFS(F8:F27,G8:G27,"PENDING")+SUMIFS(F8:F27,G8:G27,"APPROVED",H8:H27,"PENDING")</f>
        <v>0</v>
      </c>
    </row>
    <row r="35" spans="1:12" x14ac:dyDescent="0.3">
      <c r="A35" s="1" t="s">
        <v>21</v>
      </c>
      <c r="D35" s="15">
        <f>SUMIF(G8:G27,"REJECTED",F8:F27)+SUMIFS(F8:F27,G8:G27,"APPROVED",H8:H27,"REJECTED")</f>
        <v>0</v>
      </c>
    </row>
    <row r="36" spans="1:12" x14ac:dyDescent="0.3">
      <c r="A36" s="16" t="s">
        <v>22</v>
      </c>
      <c r="B36" s="17"/>
      <c r="C36" s="17"/>
      <c r="D36" s="18">
        <f>D31-D33</f>
        <v>1460999</v>
      </c>
    </row>
    <row r="39" spans="1:12" x14ac:dyDescent="0.3">
      <c r="A39" s="28" t="s">
        <v>23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1" spans="1:12" x14ac:dyDescent="0.3">
      <c r="A41" s="1" t="s">
        <v>51</v>
      </c>
      <c r="B41" s="31"/>
      <c r="C41" s="31"/>
      <c r="D41" t="s">
        <v>25</v>
      </c>
      <c r="E41" s="31"/>
      <c r="F41" s="31"/>
      <c r="G41" t="s">
        <v>48</v>
      </c>
      <c r="H41" s="31" t="s">
        <v>57</v>
      </c>
      <c r="I41" s="31"/>
      <c r="J41" s="24" t="s">
        <v>26</v>
      </c>
      <c r="K41" s="31" t="s">
        <v>58</v>
      </c>
      <c r="L41" s="31"/>
    </row>
    <row r="42" spans="1:12" x14ac:dyDescent="0.3">
      <c r="A42" t="s">
        <v>56</v>
      </c>
      <c r="B42" s="31"/>
      <c r="C42" s="31"/>
      <c r="D42" t="s">
        <v>24</v>
      </c>
      <c r="E42" s="31"/>
      <c r="F42" s="31"/>
      <c r="G42" t="s">
        <v>24</v>
      </c>
      <c r="H42" s="36">
        <v>46184</v>
      </c>
      <c r="I42" s="31"/>
      <c r="J42" t="s">
        <v>24</v>
      </c>
      <c r="K42" s="36">
        <v>46184</v>
      </c>
      <c r="L42" s="31"/>
    </row>
    <row r="43" spans="1:12" x14ac:dyDescent="0.3">
      <c r="A43" s="35" t="s">
        <v>49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9" spans="1:2" x14ac:dyDescent="0.3">
      <c r="A49" t="s">
        <v>81</v>
      </c>
      <c r="B49">
        <v>905850</v>
      </c>
    </row>
  </sheetData>
  <mergeCells count="15">
    <mergeCell ref="A43:L43"/>
    <mergeCell ref="B41:C41"/>
    <mergeCell ref="E41:F41"/>
    <mergeCell ref="H41:I41"/>
    <mergeCell ref="K41:L41"/>
    <mergeCell ref="B42:C42"/>
    <mergeCell ref="E42:F42"/>
    <mergeCell ref="H42:I42"/>
    <mergeCell ref="K42:L42"/>
    <mergeCell ref="A39:L39"/>
    <mergeCell ref="A1:L1"/>
    <mergeCell ref="A2:L2"/>
    <mergeCell ref="A4:L4"/>
    <mergeCell ref="A28:E28"/>
    <mergeCell ref="A30:D30"/>
  </mergeCells>
  <dataValidations count="4">
    <dataValidation type="list" allowBlank="1" showInputMessage="1" showErrorMessage="1" sqref="E8:E27" xr:uid="{374CFEF0-7BD8-4B97-936B-BD24F300A65A}">
      <formula1>"Client Expense,Communication,Miscellaneous,Supplies,Transport,Utilities"</formula1>
    </dataValidation>
    <dataValidation type="list" allowBlank="1" showInputMessage="1" showErrorMessage="1" sqref="H8:H27" xr:uid="{5C639736-FE34-4095-8D64-D4EE048DADBB}">
      <formula1>"APPROVED,PENDING,REJECTED"</formula1>
    </dataValidation>
    <dataValidation type="list" allowBlank="1" showInputMessage="1" showErrorMessage="1" sqref="J8:J27" xr:uid="{C49CF62E-5F4B-492A-89F7-4879CE3D833E}">
      <formula1>"Cash,Mobile Money,Bank Transfer"</formula1>
    </dataValidation>
    <dataValidation type="list" allowBlank="1" showInputMessage="1" showErrorMessage="1" errorTitle="Invalid Entry" error="Please select APPROVED, PENDING, or REJECTED from the dropdown list." sqref="G8:G27" xr:uid="{BE13873C-2031-4BA9-BC19-505B5C25B0AC}">
      <formula1>"APPROVED,PENDING,REJECTED"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JUNE 26</vt:lpstr>
      <vt:lpstr>11-06-2026</vt:lpstr>
      <vt:lpstr>12-06-2026</vt:lpstr>
      <vt:lpstr>13-06-2026</vt:lpstr>
      <vt:lpstr>14-06-2026</vt:lpstr>
      <vt:lpstr>15-06-2026</vt:lpstr>
      <vt:lpstr>16-06-2026</vt:lpstr>
      <vt:lpstr>17-06-2026</vt:lpstr>
      <vt:lpstr>19-06-2026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Enanga</dc:creator>
  <cp:lastModifiedBy>Tina Enanga</cp:lastModifiedBy>
  <cp:lastPrinted>2026-06-19T15:16:48Z</cp:lastPrinted>
  <dcterms:created xsi:type="dcterms:W3CDTF">2026-06-11T11:11:32Z</dcterms:created>
  <dcterms:modified xsi:type="dcterms:W3CDTF">2026-06-20T08:12:50Z</dcterms:modified>
</cp:coreProperties>
</file>