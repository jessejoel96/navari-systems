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intelhrc1-my.sharepoint.com/personal/t_enanga_inteloutsourcingservices_com/Documents/Desktop/AP WORK TOOLS/CASH REQUEST 2026/"/>
    </mc:Choice>
  </mc:AlternateContent>
  <xr:revisionPtr revIDLastSave="243" documentId="11_1C86AA42729EAC4D7994FD8146CC87A4F504A4D1" xr6:coauthVersionLast="47" xr6:coauthVersionMax="47" xr10:uidLastSave="{41626401-11FE-4D94-88E3-0699E4A4780E}"/>
  <bookViews>
    <workbookView xWindow="-108" yWindow="-108" windowWidth="23256" windowHeight="12456" firstSheet="2" activeTab="5" xr2:uid="{00000000-000D-0000-FFFF-FFFF00000000}"/>
  </bookViews>
  <sheets>
    <sheet name="JAN 2026  " sheetId="3" r:id="rId1"/>
    <sheet name="FEV 2026  " sheetId="2" r:id="rId2"/>
    <sheet name="MARCH 26" sheetId="4" r:id="rId3"/>
    <sheet name="APRIL 26" sheetId="5" r:id="rId4"/>
    <sheet name="MAY 26" sheetId="6" r:id="rId5"/>
    <sheet name="JUNE 26 " sheetId="7" r:id="rId6"/>
    <sheet name="Sage_Import_June26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7" l="1"/>
  <c r="H33" i="7"/>
  <c r="H44" i="7" s="1"/>
  <c r="H34" i="8"/>
  <c r="G34" i="8"/>
  <c r="I85" i="6" l="1"/>
  <c r="I86" i="6" s="1"/>
  <c r="I62" i="6"/>
  <c r="I63" i="6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61" i="6"/>
  <c r="I60" i="6"/>
  <c r="H33" i="6"/>
  <c r="H44" i="6"/>
  <c r="G22" i="2"/>
  <c r="G21" i="3"/>
  <c r="H43" i="5"/>
  <c r="I87" i="6" l="1"/>
  <c r="I8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8" authorId="0" shapeId="0" xr:uid="{00000000-0006-0000-0000-000001000000}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il manque 1 document qui n'est toujours pas arrivé DHL dit avoir un problème de vol</t>
        </r>
      </text>
    </comment>
    <comment ref="D41" authorId="0" shapeId="0" xr:uid="{00000000-0006-0000-0000-000002000000}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il manque 1 document qui n'est toujours pas arrivé DHL dit avoir un problème de vol</t>
        </r>
      </text>
    </comment>
    <comment ref="E41" authorId="0" shapeId="0" xr:uid="{00000000-0006-0000-0000-000003000000}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il manque 1 document qui n'est toujours pas arrivé DHL dit avoir un problème de vol</t>
        </r>
      </text>
    </comment>
    <comment ref="J41" authorId="0" shapeId="0" xr:uid="{00000000-0006-0000-0000-000004000000}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il manque 1 document qui n'est toujours pas arrivé DHL dit avoir un problème de vol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8" authorId="0" shapeId="0" xr:uid="{00000000-0006-0000-0100-000001000000}">
      <text>
        <r>
          <rPr>
            <b/>
            <sz val="9"/>
            <rFont val="Tahoma"/>
            <family val="2"/>
          </rPr>
          <t>DELL:</t>
        </r>
        <r>
          <rPr>
            <sz val="9"/>
            <rFont val="Tahoma"/>
            <family val="2"/>
          </rPr>
          <t xml:space="preserve">
il manque 1 document qui n'est toujours pas arrivé DHL dit avoir un problème de vol</t>
        </r>
      </text>
    </comment>
  </commentList>
</comments>
</file>

<file path=xl/sharedStrings.xml><?xml version="1.0" encoding="utf-8"?>
<sst xmlns="http://schemas.openxmlformats.org/spreadsheetml/2006/main" count="702" uniqueCount="251">
  <si>
    <t xml:space="preserve">CASH REQUEST SHEET - COST BREAKDOWN - BUREAU YDE </t>
  </si>
  <si>
    <t xml:space="preserve">Office representative  : </t>
  </si>
  <si>
    <r>
      <rPr>
        <sz val="12"/>
        <color theme="1"/>
        <rFont val="Candara"/>
        <family val="2"/>
      </rPr>
      <t xml:space="preserve">Period: </t>
    </r>
    <r>
      <rPr>
        <b/>
        <sz val="12"/>
        <color theme="1"/>
        <rFont val="Candara"/>
        <family val="2"/>
      </rPr>
      <t>January 2026</t>
    </r>
  </si>
  <si>
    <t xml:space="preserve">Excel sheet cash balance: </t>
  </si>
  <si>
    <t xml:space="preserve">Amount Requested : </t>
  </si>
  <si>
    <t xml:space="preserve">Amount Approved : </t>
  </si>
  <si>
    <t>COST BREAK DOWN</t>
  </si>
  <si>
    <t>N°</t>
  </si>
  <si>
    <t xml:space="preserve">Description </t>
  </si>
  <si>
    <t xml:space="preserve">Period of Use </t>
  </si>
  <si>
    <t>Amount</t>
  </si>
  <si>
    <t>TOTAL</t>
  </si>
  <si>
    <t xml:space="preserve">Approved by </t>
  </si>
  <si>
    <t>ENOW MENGOTKPA</t>
  </si>
  <si>
    <t>Head of Financial Planning &amp; Reporting</t>
  </si>
  <si>
    <t>Office representative  :</t>
  </si>
  <si>
    <r>
      <rPr>
        <sz val="12"/>
        <color theme="1"/>
        <rFont val="Candara"/>
        <family val="2"/>
      </rPr>
      <t>Period: February</t>
    </r>
    <r>
      <rPr>
        <b/>
        <sz val="12"/>
        <color theme="1"/>
        <rFont val="Candara"/>
        <family val="2"/>
      </rPr>
      <t xml:space="preserve"> 2026</t>
    </r>
  </si>
  <si>
    <r>
      <rPr>
        <sz val="12"/>
        <color theme="1"/>
        <rFont val="Candara"/>
        <family val="2"/>
      </rPr>
      <t>Amount Approved :</t>
    </r>
    <r>
      <rPr>
        <b/>
        <sz val="12"/>
        <color theme="1"/>
        <rFont val="Candara"/>
        <family val="2"/>
      </rPr>
      <t xml:space="preserve"> </t>
    </r>
  </si>
  <si>
    <t>Office representative  : Fatou</t>
  </si>
  <si>
    <r>
      <rPr>
        <sz val="12"/>
        <color theme="1"/>
        <rFont val="Candara"/>
        <family val="2"/>
      </rPr>
      <t>Period:Mars</t>
    </r>
    <r>
      <rPr>
        <b/>
        <sz val="12"/>
        <color theme="1"/>
        <rFont val="Candara"/>
        <family val="2"/>
      </rPr>
      <t xml:space="preserve"> 2026</t>
    </r>
  </si>
  <si>
    <r>
      <rPr>
        <sz val="12"/>
        <color theme="1"/>
        <rFont val="Candara"/>
        <family val="2"/>
      </rPr>
      <t xml:space="preserve">Excel sheet cash balance: </t>
    </r>
    <r>
      <rPr>
        <b/>
        <sz val="12"/>
        <color theme="1"/>
        <rFont val="Candara"/>
        <family val="2"/>
      </rPr>
      <t>869,632FCFA</t>
    </r>
  </si>
  <si>
    <r>
      <rPr>
        <sz val="12"/>
        <color theme="1"/>
        <rFont val="Candara"/>
        <family val="2"/>
      </rPr>
      <t xml:space="preserve">Amount Requested : </t>
    </r>
    <r>
      <rPr>
        <b/>
        <sz val="12"/>
        <color theme="1"/>
        <rFont val="Candara"/>
        <family val="2"/>
      </rPr>
      <t>1,304,151 FCFA</t>
    </r>
  </si>
  <si>
    <t>MONTHLY RECURRENT</t>
  </si>
  <si>
    <t>DESCRIPTION</t>
  </si>
  <si>
    <t>BUDGETED AMOUNT</t>
  </si>
  <si>
    <t>AMOUNT DISBURSED</t>
  </si>
  <si>
    <t xml:space="preserve">OFFICE </t>
  </si>
  <si>
    <t xml:space="preserve">New Office </t>
  </si>
  <si>
    <t xml:space="preserve">ELECTRICTY RECHARGE </t>
  </si>
  <si>
    <t>WATER BILL (Paid From october till february) ,no bill since</t>
  </si>
  <si>
    <t xml:space="preserve">fuel recharge </t>
  </si>
  <si>
    <t>Car cleaning</t>
  </si>
  <si>
    <t xml:space="preserve">Office cleaning </t>
  </si>
  <si>
    <t xml:space="preserve">Monthly Communication Allowance Audrey </t>
  </si>
  <si>
    <t>Monthly Communication Allowance FATOU</t>
  </si>
  <si>
    <t xml:space="preserve">TAXI </t>
  </si>
  <si>
    <t>Water Dispenser  Recharge (04)</t>
  </si>
  <si>
    <t xml:space="preserve">Internet monthly subscription </t>
  </si>
  <si>
    <t>Stationnement</t>
  </si>
  <si>
    <t>AUDREY</t>
  </si>
  <si>
    <t xml:space="preserve">Monthly Rent </t>
  </si>
  <si>
    <t>ELECTRICTY RECHARGE</t>
  </si>
  <si>
    <t xml:space="preserve">Internet </t>
  </si>
  <si>
    <t>Water Bill</t>
  </si>
  <si>
    <t xml:space="preserve">ESTIMATED TOTAL </t>
  </si>
  <si>
    <t>OTHERS</t>
  </si>
  <si>
    <t>BAOBAB</t>
  </si>
  <si>
    <t>Journal de caisse</t>
  </si>
  <si>
    <t>Caisse n°</t>
  </si>
  <si>
    <t>Solde initial</t>
  </si>
  <si>
    <t>DATE</t>
  </si>
  <si>
    <t>beneficiaire</t>
  </si>
  <si>
    <t>description</t>
  </si>
  <si>
    <t>recettes</t>
  </si>
  <si>
    <t>dépenses</t>
  </si>
  <si>
    <t>solde cumulé</t>
  </si>
  <si>
    <t>montant budgetise</t>
  </si>
  <si>
    <t>EMIRATES</t>
  </si>
  <si>
    <t>ACHAT BILLET D'AVION BOSS</t>
  </si>
  <si>
    <t>book in jan</t>
  </si>
  <si>
    <t>FATOU SOUMARE</t>
  </si>
  <si>
    <t>TRANSPORT</t>
  </si>
  <si>
    <t xml:space="preserve">ASKY </t>
  </si>
  <si>
    <t>ACHAT BILLET D'AVION AUDREY</t>
  </si>
  <si>
    <t>HOTEL BOSS</t>
  </si>
  <si>
    <t>Purchase from FIVE HOTEL JV LLC</t>
  </si>
  <si>
    <t>ask boss</t>
  </si>
  <si>
    <t>AD INFORMATIQUE</t>
  </si>
  <si>
    <t xml:space="preserve">ACHAT CARTOUCHE </t>
  </si>
  <si>
    <t>SONATEL</t>
  </si>
  <si>
    <t>INTERNET</t>
  </si>
  <si>
    <t xml:space="preserve">COMMUNICATION </t>
  </si>
  <si>
    <t>LAVANDE</t>
  </si>
  <si>
    <t>LAVAGE VOITURE</t>
  </si>
  <si>
    <t>AUCHAN KEUR GORGUI</t>
  </si>
  <si>
    <t>ACHAT D'EAU</t>
  </si>
  <si>
    <t>Purchase from SURVEYMONKEY EUROPE UC</t>
  </si>
  <si>
    <t xml:space="preserve">ask carine </t>
  </si>
  <si>
    <t>PAYMENT VISITE TECHNIQUE VOITURE</t>
  </si>
  <si>
    <t>TOTAL ENERGIE</t>
  </si>
  <si>
    <t>CARBURANT</t>
  </si>
  <si>
    <t>OK</t>
  </si>
  <si>
    <t>COMMUNICATION AUDREY</t>
  </si>
  <si>
    <t>DHL</t>
  </si>
  <si>
    <t xml:space="preserve">PAYMENT dhl workforce CASIER JUDICIAIRE </t>
  </si>
  <si>
    <t xml:space="preserve">ok use 47 client </t>
  </si>
  <si>
    <t>SENELEC</t>
  </si>
  <si>
    <t>PAYMENT SEN'EAU</t>
  </si>
  <si>
    <t>CHANGEMENT BILLET BOSS</t>
  </si>
  <si>
    <t>ECOBANK</t>
  </si>
  <si>
    <t>COMPLEMENT SOUS-COMPTE MSI</t>
  </si>
  <si>
    <t>POLICE CENTRALE</t>
  </si>
  <si>
    <t>PAYMENT PARKING</t>
  </si>
  <si>
    <t>AUCHAN POINT E</t>
  </si>
  <si>
    <t>ALIMENTATION GENERAL</t>
  </si>
  <si>
    <t>ACHAT PAPIER TOILETTE</t>
  </si>
  <si>
    <t>LAVEUR</t>
  </si>
  <si>
    <t xml:space="preserve">VOITURE </t>
  </si>
  <si>
    <t>DAME DE MENAGE FATOU</t>
  </si>
  <si>
    <r>
      <rPr>
        <sz val="12"/>
        <color theme="1"/>
        <rFont val="Candara"/>
        <family val="2"/>
      </rPr>
      <t>Period:April</t>
    </r>
    <r>
      <rPr>
        <b/>
        <sz val="12"/>
        <color theme="1"/>
        <rFont val="Candara"/>
        <family val="2"/>
      </rPr>
      <t xml:space="preserve"> 2026</t>
    </r>
  </si>
  <si>
    <r>
      <rPr>
        <sz val="12"/>
        <color theme="1"/>
        <rFont val="Candara"/>
        <family val="2"/>
      </rPr>
      <t>Excel sheet cash balance: -</t>
    </r>
    <r>
      <rPr>
        <b/>
        <sz val="12"/>
        <color theme="1"/>
        <rFont val="Candara"/>
        <family val="2"/>
      </rPr>
      <t>389,483FCFA</t>
    </r>
  </si>
  <si>
    <r>
      <t xml:space="preserve">Amount Requested : </t>
    </r>
    <r>
      <rPr>
        <b/>
        <sz val="12"/>
        <color theme="1"/>
        <rFont val="Candara"/>
        <family val="2"/>
      </rPr>
      <t>1,729,634 FCFA</t>
    </r>
  </si>
  <si>
    <t>GATEAU ANNIVERSAIRE FATOU</t>
  </si>
  <si>
    <t>ACHAT PAQUET RAM DE PAPIER AA</t>
  </si>
  <si>
    <t xml:space="preserve">PREFINANCED COST </t>
  </si>
  <si>
    <t>RECHARGE WOYOFAL AUDREY</t>
  </si>
  <si>
    <t>ELECTRICITE</t>
  </si>
  <si>
    <t>RECHARGE WOYOFAL BUREAU</t>
  </si>
  <si>
    <t>O3/03/2026</t>
  </si>
  <si>
    <t>DIATTA ET FRERES</t>
  </si>
  <si>
    <t>ACHAT COLLE PARRE BRISE</t>
  </si>
  <si>
    <t xml:space="preserve">MOUSSA </t>
  </si>
  <si>
    <t>MAIN D'ŒUVRE POUR REPARATION VOITURE</t>
  </si>
  <si>
    <t>COMMUNICATION FATOU SOUMARE</t>
  </si>
  <si>
    <t xml:space="preserve"> 8 MARS- FATOU</t>
  </si>
  <si>
    <t xml:space="preserve"> 8 MARS- AUDREY</t>
  </si>
  <si>
    <t>ETHIOPIAN</t>
  </si>
  <si>
    <t>ACHAT BILLET AUDREY</t>
  </si>
  <si>
    <t xml:space="preserve">CARBURANT </t>
  </si>
  <si>
    <t>INTERNET BUREAU</t>
  </si>
  <si>
    <t>INTERNET AUDREY</t>
  </si>
  <si>
    <t>FELAH CYBER CITY</t>
  </si>
  <si>
    <t>ACHAT CHEMISES</t>
  </si>
  <si>
    <t>CARREFOUR MARKET</t>
  </si>
  <si>
    <t>ACHAT D'EAU ET SAVON</t>
  </si>
  <si>
    <t>SUNU ASSURANCES</t>
  </si>
  <si>
    <t>PAYMENT ASSURANCE VEHICULE IOS</t>
  </si>
  <si>
    <t xml:space="preserve">ACHAT D'EAU </t>
  </si>
  <si>
    <t>VOITURE IOS</t>
  </si>
  <si>
    <t>DAME DE MENAGE</t>
  </si>
  <si>
    <t>PAYMENT DAME DE MENAGE BUREAU</t>
  </si>
  <si>
    <t>GARAGE MANSOUR DIOP</t>
  </si>
  <si>
    <t>PAYMENT REPARATION VOITURE IOS</t>
  </si>
  <si>
    <t>CHANGEMENT BOUGIE VOITURE IOS</t>
  </si>
  <si>
    <t>YANGO LIVRAISON</t>
  </si>
  <si>
    <t>POUR LIVRER LES CARTES D'ASSURANCE DE MR NDIOUGA BA</t>
  </si>
  <si>
    <t>CHINA MALL</t>
  </si>
  <si>
    <t>ACHAT BUREAU ET CHAISE</t>
  </si>
  <si>
    <t>ORANGE</t>
  </si>
  <si>
    <t>ABONNEMENT PUCE - AVRIL</t>
  </si>
  <si>
    <t>KEUR SOKHNA ELECTRONIQUE</t>
  </si>
  <si>
    <t>ACHAT ORDINATEUR</t>
  </si>
  <si>
    <t>NEW  EMPLOYE'S LAPTOP</t>
  </si>
  <si>
    <t>LIVRAISON BUREAU ET CHAISE</t>
  </si>
  <si>
    <t>PAYMENT MONTAGE BUREAU</t>
  </si>
  <si>
    <t xml:space="preserve">AUDREY PRE-FINANCED SOME EXPENSES </t>
  </si>
  <si>
    <r>
      <t xml:space="preserve">Period: MAY </t>
    </r>
    <r>
      <rPr>
        <b/>
        <sz val="12"/>
        <color theme="1"/>
        <rFont val="Candara"/>
        <family val="2"/>
      </rPr>
      <t>2026</t>
    </r>
  </si>
  <si>
    <t>CHANGEMENT BATTERIE ORDINATEUR</t>
  </si>
  <si>
    <t>ACHAT REPETITEUR WIFI</t>
  </si>
  <si>
    <t>IMPRESSION CARTE DE VISITE ET BADGE</t>
  </si>
  <si>
    <t>CONCEPTION CACHET GRAND MODEL</t>
  </si>
  <si>
    <t>KEUR BAMBA</t>
  </si>
  <si>
    <t>ACHAT ADAPTATEURS POUR LE BUREAU</t>
  </si>
  <si>
    <t>DJWANE WAKEUR KHADIM</t>
  </si>
  <si>
    <t>ACHAT MATERIELS ELECTRICITE</t>
  </si>
  <si>
    <t>DJWANE WAKEUR KHADIM(IBRAHIMA DIALLO)</t>
  </si>
  <si>
    <t xml:space="preserve">PAYMENT MAIN D'ŒUVRE </t>
  </si>
  <si>
    <t>HOLDING KHELCOM SERVICES</t>
  </si>
  <si>
    <t>ACHAT D'EAU ET EAU JAVEL</t>
  </si>
  <si>
    <t xml:space="preserve">ORANGE </t>
  </si>
  <si>
    <t>WOYOFAL</t>
  </si>
  <si>
    <t>KEUR SOUNA ELECTRONIQUE</t>
  </si>
  <si>
    <t>ACHAT TELEPHONE ET LIVRAISON</t>
  </si>
  <si>
    <t xml:space="preserve">INTERNET </t>
  </si>
  <si>
    <t>KHALY PUB</t>
  </si>
  <si>
    <t>PATISSERIE KANEL</t>
  </si>
  <si>
    <t>ACHAT GATEAU ANNIVERSAIRE FATOU</t>
  </si>
  <si>
    <t>ACHAT JUS POUR L'ANNIVERSAIRE FATOU</t>
  </si>
  <si>
    <t>COMMUNICATION MOR DIOUM</t>
  </si>
  <si>
    <t>SUPERMARCHE EXCLUSIVE</t>
  </si>
  <si>
    <t>SEN'EAU</t>
  </si>
  <si>
    <t>PAYMENT FACTURE D'EAU BUREAU</t>
  </si>
  <si>
    <t>PAYMENT FACTURE D'EAU AUDREY</t>
  </si>
  <si>
    <t>TAXI</t>
  </si>
  <si>
    <t>PAYMENT LAVAGE VOITURE</t>
  </si>
  <si>
    <t>FATOU DAME DE MENAGE</t>
  </si>
  <si>
    <t>PAYMENT DAME DE MENAGE</t>
  </si>
  <si>
    <t>Monthly Communication Allowance MOR</t>
  </si>
  <si>
    <t xml:space="preserve">REFUND AUDREY FOR PREFINANCE </t>
  </si>
  <si>
    <t xml:space="preserve">APPRO CAISE </t>
  </si>
  <si>
    <r>
      <t xml:space="preserve">Excel sheet cash balance:  </t>
    </r>
    <r>
      <rPr>
        <b/>
        <sz val="12"/>
        <color theme="1"/>
        <rFont val="Candara"/>
        <family val="2"/>
      </rPr>
      <t>-55,303FCFA</t>
    </r>
  </si>
  <si>
    <r>
      <t>Amount Requested :</t>
    </r>
    <r>
      <rPr>
        <b/>
        <sz val="12"/>
        <color theme="1"/>
        <rFont val="Candara"/>
        <family val="2"/>
      </rPr>
      <t xml:space="preserve"> 1,359,454FCFA</t>
    </r>
  </si>
  <si>
    <t>CASH REQUEST SHEET - COST BREAKDOWN - BUREAU SENEGAL</t>
  </si>
  <si>
    <r>
      <t xml:space="preserve">Period: JUNE </t>
    </r>
    <r>
      <rPr>
        <b/>
        <sz val="12"/>
        <color theme="1"/>
        <rFont val="Candara"/>
        <family val="2"/>
      </rPr>
      <t>2026</t>
    </r>
  </si>
  <si>
    <t xml:space="preserve">Excel sheet cash balance:  </t>
  </si>
  <si>
    <t>TOTALENERGIE</t>
  </si>
  <si>
    <t>COMMUNICATION FATOU</t>
  </si>
  <si>
    <t xml:space="preserve">AUCHAN </t>
  </si>
  <si>
    <t>AUCHAN</t>
  </si>
  <si>
    <t>STATION SHELL</t>
  </si>
  <si>
    <t>ELECTRICITE(AUDREY)</t>
  </si>
  <si>
    <t>PAYMENT BON D'ACHAT</t>
  </si>
  <si>
    <t>COMMUNICATION MOR</t>
  </si>
  <si>
    <t>refund Audrey</t>
  </si>
  <si>
    <t>Type</t>
  </si>
  <si>
    <t>Date</t>
  </si>
  <si>
    <t>N° Pièce</t>
  </si>
  <si>
    <t>N° Compte</t>
  </si>
  <si>
    <t>Intitulé du compte</t>
  </si>
  <si>
    <t>Libellé écriture</t>
  </si>
  <si>
    <t>Débit</t>
  </si>
  <si>
    <t>Crédit</t>
  </si>
  <si>
    <t>Journal</t>
  </si>
  <si>
    <t>G</t>
  </si>
  <si>
    <t>27/04/2026</t>
  </si>
  <si>
    <t>JC001</t>
  </si>
  <si>
    <t>GASOIL,LUBRIFIANTS&amp;SUPER</t>
  </si>
  <si>
    <t>CARBURANT - TOTALENERGIE</t>
  </si>
  <si>
    <t>CAISSE</t>
  </si>
  <si>
    <t>CAISSE SIEGE</t>
  </si>
  <si>
    <t>JC002</t>
  </si>
  <si>
    <t>FRAIS DE TELEPHONE PROFESSIONNELS</t>
  </si>
  <si>
    <t>COMMUNICATION AUDREY - ORANGE</t>
  </si>
  <si>
    <t>JC003</t>
  </si>
  <si>
    <t>JC004</t>
  </si>
  <si>
    <t>MAINTENANCE MATERIEL DE TRANSPORT</t>
  </si>
  <si>
    <t>LAVAGE VOITURE - LAVANDE</t>
  </si>
  <si>
    <t>JC005</t>
  </si>
  <si>
    <t>JC006</t>
  </si>
  <si>
    <t>EAU PROFESSIONNELLE</t>
  </si>
  <si>
    <t>ACHAT D'EAU - AUCHAN</t>
  </si>
  <si>
    <t>JC007</t>
  </si>
  <si>
    <t>15/05/2026</t>
  </si>
  <si>
    <t>JC008</t>
  </si>
  <si>
    <t>18/05/2026</t>
  </si>
  <si>
    <t>JC009</t>
  </si>
  <si>
    <t>CARBURANT - STATION SHELL</t>
  </si>
  <si>
    <t>19/05/2026</t>
  </si>
  <si>
    <t>JC010</t>
  </si>
  <si>
    <t>INTERNET - ORANGE</t>
  </si>
  <si>
    <t>20/05/2026</t>
  </si>
  <si>
    <t>JC011</t>
  </si>
  <si>
    <t>ELECTRICITE HABITATION</t>
  </si>
  <si>
    <t>ELECTRICITE AUDREY - WOYOFAL</t>
  </si>
  <si>
    <t>22/05/2026</t>
  </si>
  <si>
    <t>JC012</t>
  </si>
  <si>
    <t>PAYMENT BON D'ACHAT - AUCHAN</t>
  </si>
  <si>
    <t>26/05/2026</t>
  </si>
  <si>
    <t>JC013</t>
  </si>
  <si>
    <t>COMMUNICATION MOR - ORANGE</t>
  </si>
  <si>
    <t>JC014</t>
  </si>
  <si>
    <t>TRAVAUX DIVERS EXECUTES PAR L'EXTER</t>
  </si>
  <si>
    <t>JC015</t>
  </si>
  <si>
    <t>VOITURE IOS - LAVEUR</t>
  </si>
  <si>
    <t>JC016</t>
  </si>
  <si>
    <t>40100000</t>
  </si>
  <si>
    <t>FOURNISSEURS DIVERS</t>
  </si>
  <si>
    <t>ACHAT CARTOUCHE PLUS LIVRAISON</t>
  </si>
  <si>
    <t>CHANGEMENT DE PNEUS PLUS MAINS D'ŒUVRE</t>
  </si>
  <si>
    <t xml:space="preserve">AUDREY REFUND </t>
  </si>
  <si>
    <r>
      <t>Amount Requested :</t>
    </r>
    <r>
      <rPr>
        <b/>
        <sz val="12"/>
        <color theme="1"/>
        <rFont val="Candara"/>
        <family val="2"/>
      </rPr>
      <t xml:space="preserve"> </t>
    </r>
    <r>
      <rPr>
        <sz val="12"/>
        <color theme="1"/>
        <rFont val="Candara"/>
        <family val="2"/>
      </rPr>
      <t xml:space="preserve"> </t>
    </r>
    <r>
      <rPr>
        <b/>
        <sz val="12"/>
        <color theme="1"/>
        <rFont val="Candara"/>
        <family val="2"/>
      </rPr>
      <t>937,573FCFA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</si>
</sst>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-* #,##0.00\ &quot;€&quot;_-;\-* #,##0.00\ &quot;€&quot;_-;_-* &quot;-&quot;??\ &quot;€&quot;_-;_-@_-"/>
    <numFmt numFmtId="165" formatCode="_-* #,##0\ &quot;CFA&quot;_-;\-* #,##0\ &quot;CFA&quot;_-;_-* &quot;-&quot;\ &quot;CFA&quot;_-;_-@_-"/>
    <numFmt numFmtId="166" formatCode="#,##0\ &quot;CFA&quot;;[Red]\-#,##0\ &quot;CFA&quot;"/>
    <numFmt numFmtId="167" formatCode="_-* #,##0\ [$FCFA-2C0C]_-;\-* #,##0\ [$FCFA-2C0C]_-;_-* &quot;-&quot;\ [$FCFA-2C0C]_-;_-@_-"/>
    <numFmt numFmtId="168" formatCode="m/d/yyyy"/>
  </numFmts>
  <fonts count="30">
    <font>
      <sz val="12"/>
      <color theme="1"/>
      <name val="Candara"/>
      <charset val="134"/>
    </font>
    <font>
      <sz val="12"/>
      <color theme="1"/>
      <name val="Candara"/>
      <family val="2"/>
    </font>
    <font>
      <sz val="12"/>
      <color theme="1"/>
      <name val="Candara"/>
      <family val="2"/>
    </font>
    <font>
      <sz val="12"/>
      <color theme="1"/>
      <name val="Candara"/>
      <family val="2"/>
    </font>
    <font>
      <sz val="12"/>
      <color theme="1"/>
      <name val="Candara"/>
      <family val="2"/>
    </font>
    <font>
      <sz val="12"/>
      <color theme="1"/>
      <name val="Candara"/>
      <family val="2"/>
    </font>
    <font>
      <b/>
      <sz val="12"/>
      <color theme="0"/>
      <name val="Candara"/>
      <family val="2"/>
    </font>
    <font>
      <b/>
      <sz val="12"/>
      <color theme="1"/>
      <name val="Candara"/>
      <family val="2"/>
    </font>
    <font>
      <b/>
      <sz val="11"/>
      <color theme="1"/>
      <name val="Candara"/>
      <family val="2"/>
    </font>
    <font>
      <sz val="12"/>
      <color theme="0"/>
      <name val="Candara"/>
      <family val="2"/>
    </font>
    <font>
      <sz val="12"/>
      <color rgb="FF000000"/>
      <name val="Candara"/>
      <family val="2"/>
    </font>
    <font>
      <b/>
      <sz val="12"/>
      <color rgb="FF000000"/>
      <name val="Candara"/>
      <family val="2"/>
    </font>
    <font>
      <b/>
      <sz val="11"/>
      <color rgb="FF000000"/>
      <name val="Candara"/>
      <family val="2"/>
    </font>
    <font>
      <sz val="11"/>
      <color rgb="FF000000"/>
      <name val="Candara"/>
      <family val="2"/>
    </font>
    <font>
      <sz val="11"/>
      <color indexed="8"/>
      <name val="Candara"/>
      <family val="2"/>
    </font>
    <font>
      <sz val="12"/>
      <color indexed="8"/>
      <name val="Candara"/>
      <family val="2"/>
    </font>
    <font>
      <sz val="11"/>
      <color rgb="FF000000"/>
      <name val="Aptos Narrow"/>
      <family val="2"/>
    </font>
    <font>
      <b/>
      <sz val="11.5"/>
      <color theme="1"/>
      <name val="Trebuchet MS"/>
      <family val="2"/>
    </font>
    <font>
      <b/>
      <sz val="9"/>
      <name val="Trebuchet MS"/>
      <family val="2"/>
    </font>
    <font>
      <b/>
      <sz val="11"/>
      <color rgb="FF000000"/>
      <name val="Cambria"/>
      <family val="1"/>
    </font>
    <font>
      <b/>
      <sz val="12"/>
      <color rgb="FF000000"/>
      <name val="Cambria"/>
      <family val="1"/>
    </font>
    <font>
      <sz val="11"/>
      <color theme="1"/>
      <name val="Cambria"/>
      <family val="1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2"/>
      <color theme="1"/>
      <name val="Candara"/>
      <family val="2"/>
    </font>
    <font>
      <b/>
      <sz val="11"/>
      <color rgb="FF000000"/>
      <name val="Aptos Narrow"/>
      <family val="2"/>
    </font>
    <font>
      <b/>
      <sz val="12"/>
      <name val="Cambria"/>
      <family val="1"/>
    </font>
    <font>
      <b/>
      <sz val="12"/>
      <color theme="1"/>
      <name val="Candara"/>
      <charset val="134"/>
    </font>
    <font>
      <b/>
      <sz val="12"/>
      <color rgb="FFFFFFFF"/>
      <name val="Candara"/>
      <charset val="134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472C4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22" fillId="0" borderId="0">
      <alignment vertical="top"/>
      <protection locked="0"/>
    </xf>
    <xf numFmtId="0" fontId="22" fillId="0" borderId="0">
      <protection locked="0"/>
    </xf>
    <xf numFmtId="41" fontId="25" fillId="0" borderId="0" applyFont="0" applyFill="0" applyBorder="0" applyAlignment="0" applyProtection="0"/>
  </cellStyleXfs>
  <cellXfs count="17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8" fillId="0" borderId="8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7" fillId="0" borderId="0" xfId="0" applyFont="1"/>
    <xf numFmtId="0" fontId="7" fillId="0" borderId="6" xfId="0" applyFont="1" applyBorder="1"/>
    <xf numFmtId="0" fontId="7" fillId="0" borderId="7" xfId="0" applyFont="1" applyBorder="1"/>
    <xf numFmtId="0" fontId="10" fillId="0" borderId="0" xfId="0" applyFont="1"/>
    <xf numFmtId="0" fontId="12" fillId="4" borderId="14" xfId="0" applyFont="1" applyFill="1" applyBorder="1" applyAlignment="1">
      <alignment horizontal="center"/>
    </xf>
    <xf numFmtId="0" fontId="12" fillId="4" borderId="14" xfId="0" applyFont="1" applyFill="1" applyBorder="1"/>
    <xf numFmtId="0" fontId="12" fillId="0" borderId="18" xfId="0" applyFont="1" applyBorder="1" applyAlignment="1">
      <alignment horizontal="center"/>
    </xf>
    <xf numFmtId="0" fontId="13" fillId="0" borderId="19" xfId="0" applyFont="1" applyBorder="1"/>
    <xf numFmtId="41" fontId="13" fillId="0" borderId="19" xfId="0" applyNumberFormat="1" applyFont="1" applyBorder="1" applyAlignment="1">
      <alignment horizontal="left"/>
    </xf>
    <xf numFmtId="0" fontId="13" fillId="0" borderId="19" xfId="0" applyFont="1" applyBorder="1" applyAlignment="1">
      <alignment horizontal="center"/>
    </xf>
    <xf numFmtId="0" fontId="13" fillId="6" borderId="19" xfId="0" applyFont="1" applyFill="1" applyBorder="1"/>
    <xf numFmtId="41" fontId="13" fillId="6" borderId="19" xfId="0" applyNumberFormat="1" applyFont="1" applyFill="1" applyBorder="1" applyAlignment="1">
      <alignment horizontal="left"/>
    </xf>
    <xf numFmtId="41" fontId="13" fillId="6" borderId="19" xfId="0" applyNumberFormat="1" applyFont="1" applyFill="1" applyBorder="1"/>
    <xf numFmtId="41" fontId="13" fillId="0" borderId="19" xfId="0" applyNumberFormat="1" applyFont="1" applyBorder="1"/>
    <xf numFmtId="0" fontId="13" fillId="0" borderId="20" xfId="0" applyFont="1" applyBorder="1"/>
    <xf numFmtId="41" fontId="13" fillId="0" borderId="20" xfId="0" applyNumberFormat="1" applyFont="1" applyBorder="1"/>
    <xf numFmtId="41" fontId="13" fillId="0" borderId="19" xfId="0" applyNumberFormat="1" applyFont="1" applyBorder="1" applyAlignment="1">
      <alignment horizontal="center" vertical="center"/>
    </xf>
    <xf numFmtId="0" fontId="13" fillId="0" borderId="21" xfId="0" applyFont="1" applyBorder="1"/>
    <xf numFmtId="41" fontId="13" fillId="0" borderId="21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/>
    </xf>
    <xf numFmtId="0" fontId="13" fillId="0" borderId="22" xfId="0" applyFont="1" applyBorder="1"/>
    <xf numFmtId="41" fontId="13" fillId="0" borderId="23" xfId="0" applyNumberFormat="1" applyFont="1" applyBorder="1" applyAlignment="1">
      <alignment horizontal="right"/>
    </xf>
    <xf numFmtId="0" fontId="13" fillId="0" borderId="24" xfId="0" applyFont="1" applyBorder="1"/>
    <xf numFmtId="0" fontId="7" fillId="0" borderId="8" xfId="0" applyFont="1" applyBorder="1"/>
    <xf numFmtId="0" fontId="13" fillId="0" borderId="0" xfId="0" applyFont="1"/>
    <xf numFmtId="41" fontId="13" fillId="0" borderId="25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left"/>
    </xf>
    <xf numFmtId="41" fontId="12" fillId="7" borderId="13" xfId="0" applyNumberFormat="1" applyFont="1" applyFill="1" applyBorder="1"/>
    <xf numFmtId="0" fontId="14" fillId="0" borderId="8" xfId="0" applyFont="1" applyBorder="1" applyAlignment="1">
      <alignment horizontal="center"/>
    </xf>
    <xf numFmtId="0" fontId="15" fillId="0" borderId="8" xfId="0" applyFont="1" applyBorder="1"/>
    <xf numFmtId="0" fontId="10" fillId="0" borderId="30" xfId="0" applyFont="1" applyBorder="1"/>
    <xf numFmtId="0" fontId="13" fillId="0" borderId="30" xfId="0" applyFont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30" xfId="0" applyFont="1" applyBorder="1" applyAlignment="1">
      <alignment horizontal="center" vertical="center"/>
    </xf>
    <xf numFmtId="0" fontId="19" fillId="8" borderId="34" xfId="0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horizontal="center" vertical="center"/>
    </xf>
    <xf numFmtId="165" fontId="20" fillId="8" borderId="30" xfId="0" applyNumberFormat="1" applyFont="1" applyFill="1" applyBorder="1" applyAlignment="1">
      <alignment horizontal="center"/>
    </xf>
    <xf numFmtId="165" fontId="20" fillId="8" borderId="30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165" fontId="20" fillId="0" borderId="30" xfId="0" applyNumberFormat="1" applyFont="1" applyBorder="1" applyAlignment="1">
      <alignment horizontal="center" vertical="center"/>
    </xf>
    <xf numFmtId="14" fontId="19" fillId="0" borderId="30" xfId="0" applyNumberFormat="1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165" fontId="19" fillId="0" borderId="30" xfId="0" applyNumberFormat="1" applyFont="1" applyBorder="1"/>
    <xf numFmtId="14" fontId="19" fillId="0" borderId="30" xfId="0" applyNumberFormat="1" applyFont="1" applyBorder="1" applyAlignment="1">
      <alignment horizontal="center" vertical="center"/>
    </xf>
    <xf numFmtId="166" fontId="20" fillId="0" borderId="30" xfId="0" applyNumberFormat="1" applyFont="1" applyBorder="1" applyAlignment="1">
      <alignment horizontal="right" vertical="top"/>
    </xf>
    <xf numFmtId="165" fontId="20" fillId="0" borderId="30" xfId="0" applyNumberFormat="1" applyFont="1" applyBorder="1" applyAlignment="1">
      <alignment horizontal="left" vertical="top"/>
    </xf>
    <xf numFmtId="0" fontId="0" fillId="0" borderId="39" xfId="0" applyBorder="1"/>
    <xf numFmtId="0" fontId="7" fillId="0" borderId="42" xfId="0" applyFont="1" applyBorder="1" applyAlignment="1">
      <alignment horizontal="center"/>
    </xf>
    <xf numFmtId="0" fontId="0" fillId="0" borderId="42" xfId="0" applyBorder="1"/>
    <xf numFmtId="41" fontId="13" fillId="0" borderId="20" xfId="0" applyNumberFormat="1" applyFont="1" applyBorder="1" applyAlignment="1">
      <alignment horizontal="left"/>
    </xf>
    <xf numFmtId="0" fontId="10" fillId="0" borderId="15" xfId="0" applyFont="1" applyBorder="1"/>
    <xf numFmtId="41" fontId="13" fillId="0" borderId="45" xfId="0" applyNumberFormat="1" applyFont="1" applyBorder="1"/>
    <xf numFmtId="165" fontId="20" fillId="8" borderId="30" xfId="0" applyNumberFormat="1" applyFont="1" applyFill="1" applyBorder="1" applyAlignment="1">
      <alignment horizontal="center" vertical="top"/>
    </xf>
    <xf numFmtId="14" fontId="20" fillId="8" borderId="30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167" fontId="20" fillId="8" borderId="30" xfId="0" applyNumberFormat="1" applyFont="1" applyFill="1" applyBorder="1"/>
    <xf numFmtId="0" fontId="16" fillId="0" borderId="30" xfId="0" applyFont="1" applyBorder="1"/>
    <xf numFmtId="165" fontId="20" fillId="0" borderId="30" xfId="0" applyNumberFormat="1" applyFont="1" applyBorder="1" applyAlignment="1">
      <alignment horizontal="center" vertical="top"/>
    </xf>
    <xf numFmtId="167" fontId="20" fillId="3" borderId="30" xfId="0" applyNumberFormat="1" applyFont="1" applyFill="1" applyBorder="1" applyAlignment="1">
      <alignment horizontal="center" vertical="center"/>
    </xf>
    <xf numFmtId="167" fontId="20" fillId="3" borderId="30" xfId="0" applyNumberFormat="1" applyFont="1" applyFill="1" applyBorder="1"/>
    <xf numFmtId="167" fontId="20" fillId="0" borderId="30" xfId="0" applyNumberFormat="1" applyFont="1" applyBorder="1" applyAlignment="1">
      <alignment horizontal="right" vertical="top"/>
    </xf>
    <xf numFmtId="0" fontId="0" fillId="0" borderId="46" xfId="0" applyBorder="1"/>
    <xf numFmtId="0" fontId="0" fillId="0" borderId="47" xfId="0" applyBorder="1"/>
    <xf numFmtId="0" fontId="20" fillId="0" borderId="30" xfId="0" applyFont="1" applyBorder="1" applyAlignment="1">
      <alignment horizontal="center"/>
    </xf>
    <xf numFmtId="0" fontId="20" fillId="0" borderId="30" xfId="0" applyFont="1" applyBorder="1" applyAlignment="1">
      <alignment horizontal="center" vertical="center"/>
    </xf>
    <xf numFmtId="0" fontId="19" fillId="0" borderId="30" xfId="0" applyFont="1" applyBorder="1"/>
    <xf numFmtId="165" fontId="19" fillId="9" borderId="30" xfId="0" applyNumberFormat="1" applyFont="1" applyFill="1" applyBorder="1"/>
    <xf numFmtId="165" fontId="19" fillId="0" borderId="30" xfId="0" applyNumberFormat="1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0" borderId="48" xfId="0" applyBorder="1"/>
    <xf numFmtId="167" fontId="20" fillId="10" borderId="30" xfId="0" applyNumberFormat="1" applyFont="1" applyFill="1" applyBorder="1" applyAlignment="1">
      <alignment horizontal="right" vertical="top"/>
    </xf>
    <xf numFmtId="0" fontId="0" fillId="10" borderId="0" xfId="0" applyFill="1" applyAlignment="1">
      <alignment vertical="center"/>
    </xf>
    <xf numFmtId="0" fontId="7" fillId="0" borderId="49" xfId="0" applyFont="1" applyBorder="1"/>
    <xf numFmtId="0" fontId="21" fillId="0" borderId="8" xfId="0" applyFont="1" applyBorder="1"/>
    <xf numFmtId="17" fontId="0" fillId="0" borderId="8" xfId="0" applyNumberFormat="1" applyBorder="1" applyAlignment="1">
      <alignment horizontal="left"/>
    </xf>
    <xf numFmtId="3" fontId="0" fillId="0" borderId="8" xfId="0" applyNumberFormat="1" applyBorder="1"/>
    <xf numFmtId="0" fontId="21" fillId="9" borderId="8" xfId="0" applyFont="1" applyFill="1" applyBorder="1"/>
    <xf numFmtId="0" fontId="21" fillId="0" borderId="11" xfId="0" applyFont="1" applyBorder="1"/>
    <xf numFmtId="3" fontId="7" fillId="0" borderId="8" xfId="0" applyNumberFormat="1" applyFont="1" applyBorder="1"/>
    <xf numFmtId="0" fontId="11" fillId="3" borderId="0" xfId="0" applyFont="1" applyFill="1" applyAlignment="1">
      <alignment vertical="center" wrapText="1"/>
    </xf>
    <xf numFmtId="41" fontId="13" fillId="0" borderId="22" xfId="0" applyNumberFormat="1" applyFont="1" applyBorder="1"/>
    <xf numFmtId="0" fontId="13" fillId="0" borderId="30" xfId="0" applyFont="1" applyBorder="1" applyAlignment="1">
      <alignment horizontal="left"/>
    </xf>
    <xf numFmtId="41" fontId="13" fillId="0" borderId="30" xfId="0" applyNumberFormat="1" applyFont="1" applyBorder="1"/>
    <xf numFmtId="0" fontId="10" fillId="0" borderId="30" xfId="0" applyFont="1" applyBorder="1" applyAlignment="1">
      <alignment horizontal="left"/>
    </xf>
    <xf numFmtId="0" fontId="10" fillId="0" borderId="30" xfId="0" applyFont="1" applyBorder="1" applyAlignment="1">
      <alignment horizontal="left" vertical="center"/>
    </xf>
    <xf numFmtId="168" fontId="20" fillId="8" borderId="30" xfId="0" applyNumberFormat="1" applyFont="1" applyFill="1" applyBorder="1" applyAlignment="1">
      <alignment horizontal="center"/>
    </xf>
    <xf numFmtId="168" fontId="19" fillId="0" borderId="30" xfId="0" applyNumberFormat="1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3" fillId="5" borderId="16" xfId="0" applyFont="1" applyFill="1" applyBorder="1"/>
    <xf numFmtId="0" fontId="13" fillId="5" borderId="17" xfId="0" applyFont="1" applyFill="1" applyBorder="1"/>
    <xf numFmtId="0" fontId="13" fillId="5" borderId="44" xfId="0" applyFont="1" applyFill="1" applyBorder="1"/>
    <xf numFmtId="0" fontId="4" fillId="0" borderId="0" xfId="0" applyFont="1" applyAlignment="1">
      <alignment vertical="center"/>
    </xf>
    <xf numFmtId="0" fontId="26" fillId="0" borderId="30" xfId="0" applyFont="1" applyBorder="1"/>
    <xf numFmtId="0" fontId="4" fillId="0" borderId="0" xfId="0" applyFont="1"/>
    <xf numFmtId="0" fontId="4" fillId="0" borderId="42" xfId="0" applyFont="1" applyBorder="1"/>
    <xf numFmtId="0" fontId="0" fillId="9" borderId="0" xfId="0" applyFill="1"/>
    <xf numFmtId="41" fontId="0" fillId="9" borderId="0" xfId="3" applyFont="1" applyFill="1"/>
    <xf numFmtId="0" fontId="4" fillId="0" borderId="9" xfId="0" applyFont="1" applyBorder="1"/>
    <xf numFmtId="0" fontId="4" fillId="0" borderId="10" xfId="0" applyFont="1" applyBorder="1"/>
    <xf numFmtId="167" fontId="27" fillId="10" borderId="30" xfId="0" applyNumberFormat="1" applyFont="1" applyFill="1" applyBorder="1" applyAlignment="1">
      <alignment horizontal="right" vertical="top"/>
    </xf>
    <xf numFmtId="0" fontId="3" fillId="0" borderId="9" xfId="0" applyFont="1" applyBorder="1"/>
    <xf numFmtId="0" fontId="13" fillId="7" borderId="26" xfId="0" applyFont="1" applyFill="1" applyBorder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20" fillId="8" borderId="35" xfId="0" applyFont="1" applyFill="1" applyBorder="1" applyAlignment="1">
      <alignment horizontal="center" vertical="center"/>
    </xf>
    <xf numFmtId="0" fontId="20" fillId="8" borderId="36" xfId="0" applyFont="1" applyFill="1" applyBorder="1" applyAlignment="1">
      <alignment horizontal="center" vertical="center"/>
    </xf>
    <xf numFmtId="0" fontId="20" fillId="8" borderId="28" xfId="0" applyFont="1" applyFill="1" applyBorder="1" applyAlignment="1">
      <alignment horizontal="center" vertical="center"/>
    </xf>
    <xf numFmtId="0" fontId="20" fillId="8" borderId="37" xfId="0" applyFont="1" applyFill="1" applyBorder="1" applyAlignment="1">
      <alignment horizontal="center" vertical="center"/>
    </xf>
    <xf numFmtId="0" fontId="20" fillId="8" borderId="38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vertical="center" wrapText="1"/>
    </xf>
    <xf numFmtId="0" fontId="11" fillId="3" borderId="15" xfId="0" applyFont="1" applyFill="1" applyBorder="1" applyAlignment="1">
      <alignment vertical="center" wrapText="1"/>
    </xf>
    <xf numFmtId="0" fontId="12" fillId="5" borderId="16" xfId="0" applyFont="1" applyFill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0" fontId="12" fillId="5" borderId="44" xfId="0" applyFont="1" applyFill="1" applyBorder="1" applyAlignment="1">
      <alignment horizontal="center"/>
    </xf>
    <xf numFmtId="0" fontId="10" fillId="0" borderId="29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9" xfId="0" applyFont="1" applyBorder="1"/>
    <xf numFmtId="0" fontId="28" fillId="0" borderId="0" xfId="0" applyFont="1"/>
    <xf numFmtId="0" fontId="29" fillId="11" borderId="0" xfId="0" applyFont="1" applyFill="1"/>
    <xf numFmtId="14" fontId="0" fillId="0" borderId="0" xfId="0" applyNumberFormat="1"/>
    <xf numFmtId="3" fontId="0" fillId="0" borderId="0" xfId="0" applyNumberFormat="1"/>
    <xf numFmtId="3" fontId="28" fillId="0" borderId="0" xfId="0" applyNumberFormat="1" applyFont="1"/>
    <xf numFmtId="49" fontId="0" fillId="0" borderId="0" xfId="0" applyNumberFormat="1"/>
    <xf numFmtId="0" fontId="10" fillId="0" borderId="52" xfId="0" applyFont="1" applyBorder="1"/>
    <xf numFmtId="0" fontId="10" fillId="0" borderId="34" xfId="0" applyFont="1" applyBorder="1"/>
    <xf numFmtId="41" fontId="10" fillId="0" borderId="30" xfId="0" applyNumberFormat="1" applyFont="1" applyBorder="1"/>
    <xf numFmtId="0" fontId="13" fillId="7" borderId="32" xfId="0" applyFont="1" applyFill="1" applyBorder="1" applyAlignment="1">
      <alignment horizontal="center"/>
    </xf>
    <xf numFmtId="0" fontId="13" fillId="7" borderId="3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43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20" fillId="8" borderId="35" xfId="0" applyFont="1" applyFill="1" applyBorder="1" applyAlignment="1">
      <alignment horizontal="center" vertical="center"/>
    </xf>
    <xf numFmtId="0" fontId="20" fillId="8" borderId="36" xfId="0" applyFont="1" applyFill="1" applyBorder="1" applyAlignment="1">
      <alignment horizontal="center" vertical="center"/>
    </xf>
    <xf numFmtId="0" fontId="20" fillId="8" borderId="28" xfId="0" applyFont="1" applyFill="1" applyBorder="1" applyAlignment="1">
      <alignment horizontal="center" vertical="center"/>
    </xf>
    <xf numFmtId="0" fontId="20" fillId="8" borderId="37" xfId="0" applyFont="1" applyFill="1" applyBorder="1" applyAlignment="1">
      <alignment horizontal="center" vertical="center"/>
    </xf>
    <xf numFmtId="0" fontId="20" fillId="8" borderId="38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0" fontId="12" fillId="5" borderId="44" xfId="0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5" borderId="44" xfId="0" applyFont="1" applyFill="1" applyBorder="1" applyAlignment="1">
      <alignment horizontal="center"/>
    </xf>
    <xf numFmtId="0" fontId="13" fillId="7" borderId="26" xfId="0" applyFont="1" applyFill="1" applyBorder="1" applyAlignment="1">
      <alignment horizontal="center"/>
    </xf>
    <xf numFmtId="0" fontId="13" fillId="7" borderId="27" xfId="0" applyFont="1" applyFill="1" applyBorder="1" applyAlignment="1">
      <alignment horizontal="center"/>
    </xf>
    <xf numFmtId="0" fontId="11" fillId="3" borderId="13" xfId="0" applyFont="1" applyFill="1" applyBorder="1" applyAlignment="1">
      <alignment vertical="center" wrapText="1"/>
    </xf>
    <xf numFmtId="0" fontId="11" fillId="3" borderId="15" xfId="0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4">
    <cellStyle name="Comma [0]" xfId="3" builtinId="6"/>
    <cellStyle name="Currency 2" xfId="1" xr:uid="{00000000-0005-0000-0000-000031000000}"/>
    <cellStyle name="Normal" xfId="0" builtinId="0"/>
    <cellStyle name="Normal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opLeftCell="D1" zoomScalePageLayoutView="72" workbookViewId="0">
      <selection activeCell="E13" sqref="E13:G20"/>
    </sheetView>
  </sheetViews>
  <sheetFormatPr defaultColWidth="9" defaultRowHeight="15.6"/>
  <cols>
    <col min="2" max="2" width="2.90625" customWidth="1"/>
    <col min="3" max="3" width="8.7265625" hidden="1" customWidth="1"/>
    <col min="4" max="4" width="3.26953125" customWidth="1"/>
    <col min="5" max="5" width="48.453125" customWidth="1"/>
    <col min="6" max="6" width="16.08984375" customWidth="1"/>
    <col min="7" max="7" width="26.7265625" customWidth="1"/>
    <col min="8" max="8" width="15.453125" customWidth="1"/>
    <col min="11" max="11" width="10.1796875" customWidth="1"/>
    <col min="12" max="14" width="8.7265625" hidden="1" customWidth="1"/>
    <col min="15" max="15" width="2.08984375" customWidth="1"/>
  </cols>
  <sheetData>
    <row r="1" spans="1: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56"/>
    </row>
    <row r="2" spans="1:15">
      <c r="A2" s="3"/>
      <c r="E2" s="139" t="s">
        <v>0</v>
      </c>
      <c r="F2" s="140"/>
      <c r="G2" s="140"/>
      <c r="H2" s="140"/>
      <c r="I2" s="140"/>
      <c r="J2" s="140"/>
      <c r="K2" s="140"/>
      <c r="L2" s="140"/>
      <c r="M2" s="140"/>
      <c r="N2" s="140"/>
      <c r="O2" s="141"/>
    </row>
    <row r="3" spans="1:15">
      <c r="A3" s="3"/>
      <c r="E3" s="142"/>
      <c r="F3" s="143"/>
      <c r="G3" s="143"/>
      <c r="H3" s="143"/>
      <c r="I3" s="143"/>
      <c r="J3" s="143"/>
      <c r="K3" s="143"/>
      <c r="L3" s="143"/>
      <c r="M3" s="143"/>
      <c r="N3" s="143"/>
      <c r="O3" s="144"/>
    </row>
    <row r="4" spans="1:15">
      <c r="A4" s="3"/>
      <c r="E4" s="4"/>
      <c r="F4" s="5"/>
      <c r="G4" s="5"/>
      <c r="H4" s="5"/>
      <c r="I4" s="5"/>
      <c r="J4" s="5"/>
      <c r="K4" s="5"/>
      <c r="L4" s="5"/>
      <c r="M4" s="5"/>
      <c r="N4" s="5"/>
      <c r="O4" s="57"/>
    </row>
    <row r="5" spans="1:15">
      <c r="A5" s="3"/>
      <c r="E5" s="6" t="s">
        <v>1</v>
      </c>
      <c r="O5" s="58"/>
    </row>
    <row r="6" spans="1:15">
      <c r="A6" s="3"/>
      <c r="E6" s="6" t="s">
        <v>2</v>
      </c>
      <c r="O6" s="58"/>
    </row>
    <row r="7" spans="1:15">
      <c r="A7" s="3"/>
      <c r="E7" s="6" t="s">
        <v>3</v>
      </c>
      <c r="O7" s="58"/>
    </row>
    <row r="8" spans="1:15">
      <c r="A8" s="3"/>
      <c r="E8" s="6" t="s">
        <v>4</v>
      </c>
      <c r="O8" s="58"/>
    </row>
    <row r="9" spans="1:15">
      <c r="A9" s="3"/>
      <c r="E9" s="7" t="s">
        <v>5</v>
      </c>
      <c r="O9" s="58"/>
    </row>
    <row r="10" spans="1:15">
      <c r="A10" s="3"/>
      <c r="O10" s="58"/>
    </row>
    <row r="11" spans="1:15">
      <c r="A11" s="3"/>
      <c r="E11" s="145" t="s">
        <v>6</v>
      </c>
      <c r="F11" s="146"/>
      <c r="G11" s="146"/>
      <c r="H11" s="146"/>
      <c r="I11" s="146"/>
      <c r="J11" s="146"/>
      <c r="K11" s="146"/>
      <c r="L11" s="146"/>
      <c r="M11" s="146"/>
      <c r="N11" s="146"/>
      <c r="O11" s="147"/>
    </row>
    <row r="12" spans="1:15">
      <c r="A12" s="3"/>
      <c r="D12" s="31" t="s">
        <v>7</v>
      </c>
      <c r="E12" s="82" t="s">
        <v>8</v>
      </c>
      <c r="F12" s="82" t="s">
        <v>9</v>
      </c>
      <c r="G12" s="82" t="s">
        <v>10</v>
      </c>
      <c r="O12" s="58"/>
    </row>
    <row r="13" spans="1:15">
      <c r="A13" s="3"/>
      <c r="D13" s="34">
        <v>1</v>
      </c>
      <c r="E13" s="83"/>
      <c r="F13" s="84"/>
      <c r="G13" s="85"/>
      <c r="O13" s="58"/>
    </row>
    <row r="14" spans="1:15">
      <c r="A14" s="3"/>
      <c r="D14" s="34">
        <v>2</v>
      </c>
      <c r="E14" s="83"/>
      <c r="F14" s="84"/>
      <c r="G14" s="85"/>
      <c r="O14" s="58"/>
    </row>
    <row r="15" spans="1:15">
      <c r="A15" s="3"/>
      <c r="D15" s="34">
        <v>3</v>
      </c>
      <c r="E15" s="83"/>
      <c r="F15" s="84"/>
      <c r="G15" s="85"/>
      <c r="O15" s="58"/>
    </row>
    <row r="16" spans="1:15">
      <c r="A16" s="3"/>
      <c r="D16" s="34">
        <v>4</v>
      </c>
      <c r="E16" s="83"/>
      <c r="F16" s="84"/>
      <c r="G16" s="85"/>
      <c r="O16" s="58"/>
    </row>
    <row r="17" spans="1:15">
      <c r="A17" s="3"/>
      <c r="D17" s="34">
        <v>5</v>
      </c>
      <c r="E17" s="86"/>
      <c r="F17" s="84"/>
      <c r="G17" s="85"/>
      <c r="O17" s="58"/>
    </row>
    <row r="18" spans="1:15">
      <c r="A18" s="3"/>
      <c r="D18" s="34">
        <v>6</v>
      </c>
      <c r="E18" s="83"/>
      <c r="F18" s="84"/>
      <c r="G18" s="85"/>
      <c r="O18" s="58"/>
    </row>
    <row r="19" spans="1:15">
      <c r="A19" s="3"/>
      <c r="D19" s="34">
        <v>7</v>
      </c>
      <c r="E19" s="87"/>
      <c r="F19" s="84"/>
      <c r="G19" s="85"/>
      <c r="O19" s="58"/>
    </row>
    <row r="20" spans="1:15">
      <c r="A20" s="3"/>
      <c r="D20" s="34">
        <v>8</v>
      </c>
      <c r="E20" s="87"/>
      <c r="F20" s="84"/>
      <c r="G20" s="85"/>
      <c r="O20" s="58"/>
    </row>
    <row r="21" spans="1:15">
      <c r="A21" s="3"/>
      <c r="E21" s="148" t="s">
        <v>11</v>
      </c>
      <c r="F21" s="149"/>
      <c r="G21" s="88">
        <f>SUM(G13:G20)</f>
        <v>0</v>
      </c>
      <c r="O21" s="58"/>
    </row>
    <row r="22" spans="1:15">
      <c r="A22" s="3"/>
      <c r="O22" s="58"/>
    </row>
    <row r="23" spans="1:15">
      <c r="A23" s="3"/>
      <c r="O23" s="58"/>
    </row>
    <row r="24" spans="1:15">
      <c r="A24" s="3"/>
      <c r="E24" t="s">
        <v>12</v>
      </c>
      <c r="O24" s="58"/>
    </row>
    <row r="25" spans="1:15">
      <c r="A25" s="3"/>
      <c r="E25" s="41" t="s">
        <v>13</v>
      </c>
      <c r="O25" s="58"/>
    </row>
    <row r="26" spans="1:15">
      <c r="A26" s="3"/>
      <c r="E26" s="42" t="s">
        <v>14</v>
      </c>
      <c r="O26" s="58"/>
    </row>
    <row r="27" spans="1:15">
      <c r="A27" s="3"/>
      <c r="O27" s="58"/>
    </row>
    <row r="28" spans="1:15">
      <c r="A28" s="3"/>
      <c r="O28" s="58"/>
    </row>
    <row r="29" spans="1:15">
      <c r="A29" s="3"/>
      <c r="O29" s="58"/>
    </row>
    <row r="30" spans="1:15">
      <c r="A30" s="3"/>
      <c r="O30" s="58"/>
    </row>
    <row r="31" spans="1:15">
      <c r="A31" s="3"/>
      <c r="O31" s="58"/>
    </row>
    <row r="32" spans="1:15">
      <c r="A32" s="3"/>
      <c r="O32" s="58"/>
    </row>
    <row r="33" spans="1:15">
      <c r="A33" s="3"/>
      <c r="O33" s="58"/>
    </row>
    <row r="34" spans="1:15">
      <c r="A34" s="3"/>
      <c r="O34" s="58"/>
    </row>
    <row r="35" spans="1:15">
      <c r="A35" s="3"/>
      <c r="O35" s="58"/>
    </row>
    <row r="36" spans="1:15">
      <c r="A36" s="3"/>
      <c r="O36" s="58"/>
    </row>
    <row r="37" spans="1:15">
      <c r="A37" s="3"/>
      <c r="O37" s="58"/>
    </row>
    <row r="38" spans="1:15">
      <c r="A38" s="3"/>
      <c r="O38" s="58"/>
    </row>
    <row r="39" spans="1:15">
      <c r="A39" s="3"/>
      <c r="O39" s="58"/>
    </row>
    <row r="40" spans="1:15">
      <c r="A40" s="3"/>
      <c r="O40" s="58"/>
    </row>
    <row r="41" spans="1:15">
      <c r="A41" s="3"/>
      <c r="O41" s="58"/>
    </row>
    <row r="42" spans="1:15">
      <c r="A42" s="3"/>
      <c r="O42" s="58"/>
    </row>
    <row r="43" spans="1:15">
      <c r="A43" s="3"/>
      <c r="O43" s="58"/>
    </row>
    <row r="44" spans="1:15">
      <c r="A44" s="3"/>
      <c r="O44" s="58"/>
    </row>
    <row r="45" spans="1:15">
      <c r="A45" s="3"/>
      <c r="O45" s="58"/>
    </row>
    <row r="46" spans="1:15" ht="37.799999999999997" customHeight="1">
      <c r="A46" s="71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9"/>
    </row>
  </sheetData>
  <mergeCells count="3">
    <mergeCell ref="E11:O11"/>
    <mergeCell ref="E21:F21"/>
    <mergeCell ref="E2:O3"/>
  </mergeCells>
  <pageMargins left="0.7" right="0.7" top="0.75" bottom="0.75" header="0.3" footer="0.3"/>
  <pageSetup scale="6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topLeftCell="E11" zoomScalePageLayoutView="72" workbookViewId="0">
      <selection activeCell="A30" sqref="A30:XFD45"/>
    </sheetView>
  </sheetViews>
  <sheetFormatPr defaultColWidth="9" defaultRowHeight="15.6"/>
  <cols>
    <col min="2" max="2" width="1" customWidth="1"/>
    <col min="3" max="3" width="1.453125" customWidth="1"/>
    <col min="4" max="4" width="7.453125" customWidth="1"/>
    <col min="5" max="5" width="48.453125" customWidth="1"/>
    <col min="6" max="6" width="27.90625" customWidth="1"/>
    <col min="7" max="7" width="26.7265625" customWidth="1"/>
    <col min="8" max="8" width="15.453125" customWidth="1"/>
    <col min="9" max="9" width="13.08984375" customWidth="1"/>
    <col min="10" max="10" width="14.6328125" customWidth="1"/>
    <col min="11" max="11" width="10.1796875" customWidth="1"/>
    <col min="12" max="14" width="8.7265625" hidden="1" customWidth="1"/>
    <col min="15" max="15" width="2.08984375" customWidth="1"/>
  </cols>
  <sheetData>
    <row r="1" spans="1: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56"/>
    </row>
    <row r="2" spans="1:15">
      <c r="A2" s="3"/>
      <c r="E2" s="139" t="s">
        <v>0</v>
      </c>
      <c r="F2" s="140"/>
      <c r="G2" s="140"/>
      <c r="H2" s="140"/>
      <c r="I2" s="140"/>
      <c r="J2" s="140"/>
      <c r="K2" s="140"/>
      <c r="L2" s="140"/>
      <c r="M2" s="140"/>
      <c r="N2" s="140"/>
      <c r="O2" s="141"/>
    </row>
    <row r="3" spans="1:15">
      <c r="A3" s="3"/>
      <c r="E3" s="142"/>
      <c r="F3" s="143"/>
      <c r="G3" s="143"/>
      <c r="H3" s="143"/>
      <c r="I3" s="143"/>
      <c r="J3" s="143"/>
      <c r="K3" s="143"/>
      <c r="L3" s="143"/>
      <c r="M3" s="143"/>
      <c r="N3" s="143"/>
      <c r="O3" s="144"/>
    </row>
    <row r="4" spans="1:15">
      <c r="A4" s="3"/>
      <c r="E4" s="4">
        <v>46058</v>
      </c>
      <c r="F4" s="5"/>
      <c r="G4" s="5"/>
      <c r="H4" s="5"/>
      <c r="I4" s="5"/>
      <c r="J4" s="5"/>
      <c r="K4" s="5"/>
      <c r="L4" s="5"/>
      <c r="M4" s="5"/>
      <c r="N4" s="5"/>
      <c r="O4" s="57"/>
    </row>
    <row r="5" spans="1:15">
      <c r="A5" s="3"/>
      <c r="E5" s="6" t="s">
        <v>15</v>
      </c>
      <c r="O5" s="58"/>
    </row>
    <row r="6" spans="1:15">
      <c r="A6" s="3"/>
      <c r="E6" s="6" t="s">
        <v>16</v>
      </c>
      <c r="O6" s="58"/>
    </row>
    <row r="7" spans="1:15">
      <c r="A7" s="3"/>
      <c r="E7" s="6" t="s">
        <v>3</v>
      </c>
      <c r="O7" s="58"/>
    </row>
    <row r="8" spans="1:15">
      <c r="A8" s="3"/>
      <c r="E8" s="6" t="s">
        <v>4</v>
      </c>
      <c r="O8" s="58"/>
    </row>
    <row r="9" spans="1:15">
      <c r="A9" s="3"/>
      <c r="E9" s="7" t="s">
        <v>17</v>
      </c>
      <c r="O9" s="58"/>
    </row>
    <row r="10" spans="1:15">
      <c r="A10" s="3"/>
      <c r="O10" s="58"/>
    </row>
    <row r="11" spans="1:15">
      <c r="A11" s="3"/>
      <c r="E11" s="145" t="s">
        <v>6</v>
      </c>
      <c r="F11" s="146"/>
      <c r="G11" s="146"/>
      <c r="H11" s="146"/>
      <c r="I11" s="146"/>
      <c r="J11" s="146"/>
      <c r="K11" s="146"/>
      <c r="L11" s="146"/>
      <c r="M11" s="146"/>
      <c r="N11" s="146"/>
      <c r="O11" s="147"/>
    </row>
    <row r="12" spans="1:15">
      <c r="A12" s="3"/>
      <c r="D12" s="31" t="s">
        <v>7</v>
      </c>
      <c r="E12" s="82" t="s">
        <v>8</v>
      </c>
      <c r="F12" s="82" t="s">
        <v>9</v>
      </c>
      <c r="G12" s="82" t="s">
        <v>10</v>
      </c>
      <c r="O12" s="58"/>
    </row>
    <row r="13" spans="1:15">
      <c r="A13" s="3"/>
      <c r="D13" s="34">
        <v>1</v>
      </c>
      <c r="E13" s="83"/>
      <c r="F13" s="84"/>
      <c r="G13" s="85"/>
      <c r="O13" s="58"/>
    </row>
    <row r="14" spans="1:15">
      <c r="A14" s="3"/>
      <c r="D14" s="34">
        <v>2</v>
      </c>
      <c r="E14" s="83"/>
      <c r="F14" s="84"/>
      <c r="G14" s="85"/>
      <c r="O14" s="58"/>
    </row>
    <row r="15" spans="1:15">
      <c r="A15" s="3"/>
      <c r="D15" s="34">
        <v>3</v>
      </c>
      <c r="E15" s="83"/>
      <c r="F15" s="84"/>
      <c r="G15" s="85"/>
      <c r="O15" s="58"/>
    </row>
    <row r="16" spans="1:15">
      <c r="A16" s="3"/>
      <c r="D16" s="34">
        <v>4</v>
      </c>
      <c r="E16" s="83"/>
      <c r="F16" s="84"/>
      <c r="G16" s="85"/>
      <c r="O16" s="58"/>
    </row>
    <row r="17" spans="1:15">
      <c r="A17" s="3"/>
      <c r="D17" s="34">
        <v>5</v>
      </c>
      <c r="E17" s="86"/>
      <c r="F17" s="84"/>
      <c r="G17" s="85"/>
      <c r="O17" s="58"/>
    </row>
    <row r="18" spans="1:15">
      <c r="A18" s="3"/>
      <c r="D18" s="34">
        <v>6</v>
      </c>
      <c r="E18" s="83"/>
      <c r="F18" s="84"/>
      <c r="G18" s="85"/>
      <c r="O18" s="58"/>
    </row>
    <row r="19" spans="1:15">
      <c r="A19" s="3"/>
      <c r="D19" s="34">
        <v>7</v>
      </c>
      <c r="E19" s="87"/>
      <c r="F19" s="84"/>
      <c r="G19" s="85"/>
      <c r="O19" s="58"/>
    </row>
    <row r="20" spans="1:15">
      <c r="A20" s="3"/>
      <c r="D20" s="34">
        <v>8</v>
      </c>
      <c r="E20" s="87"/>
      <c r="F20" s="84"/>
      <c r="G20" s="85"/>
      <c r="O20" s="58"/>
    </row>
    <row r="21" spans="1:15">
      <c r="A21" s="3"/>
      <c r="D21" s="34">
        <v>9</v>
      </c>
      <c r="E21" s="87"/>
      <c r="F21" s="84"/>
      <c r="G21" s="85"/>
      <c r="O21" s="58"/>
    </row>
    <row r="22" spans="1:15">
      <c r="A22" s="3"/>
      <c r="E22" s="148" t="s">
        <v>11</v>
      </c>
      <c r="F22" s="149"/>
      <c r="G22" s="88">
        <f>SUM(G13:G21)</f>
        <v>0</v>
      </c>
      <c r="O22" s="58"/>
    </row>
    <row r="23" spans="1:15">
      <c r="A23" s="3"/>
      <c r="O23" s="58"/>
    </row>
    <row r="24" spans="1:15">
      <c r="A24" s="3"/>
      <c r="O24" s="58"/>
    </row>
    <row r="25" spans="1:15">
      <c r="A25" s="3"/>
      <c r="E25" t="s">
        <v>12</v>
      </c>
      <c r="O25" s="58"/>
    </row>
    <row r="26" spans="1:15">
      <c r="A26" s="3"/>
      <c r="E26" s="41" t="s">
        <v>13</v>
      </c>
      <c r="O26" s="58"/>
    </row>
    <row r="27" spans="1:15">
      <c r="A27" s="3"/>
      <c r="E27" s="42" t="s">
        <v>14</v>
      </c>
      <c r="O27" s="58"/>
    </row>
    <row r="28" spans="1:15">
      <c r="A28" s="3"/>
      <c r="O28" s="58"/>
    </row>
    <row r="29" spans="1:15">
      <c r="A29" s="3"/>
      <c r="O29" s="58"/>
    </row>
    <row r="30" spans="1:15">
      <c r="A30" s="3"/>
      <c r="O30" s="58"/>
    </row>
    <row r="31" spans="1:15" ht="37.799999999999997" customHeight="1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9"/>
    </row>
  </sheetData>
  <mergeCells count="3">
    <mergeCell ref="E11:O11"/>
    <mergeCell ref="E22:F22"/>
    <mergeCell ref="E2:O3"/>
  </mergeCells>
  <pageMargins left="0.7" right="0.7" top="0.75" bottom="0.75" header="0.3" footer="0.3"/>
  <pageSetup scale="58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0"/>
  <sheetViews>
    <sheetView topLeftCell="C9" zoomScale="70" zoomScaleNormal="70" zoomScalePageLayoutView="72" workbookViewId="0">
      <selection activeCell="J65" sqref="J65"/>
    </sheetView>
  </sheetViews>
  <sheetFormatPr defaultColWidth="9" defaultRowHeight="15.6"/>
  <cols>
    <col min="2" max="2" width="1" customWidth="1"/>
    <col min="3" max="3" width="1.453125" customWidth="1"/>
    <col min="4" max="4" width="11.453125" customWidth="1"/>
    <col min="5" max="5" width="48.453125" customWidth="1"/>
    <col min="6" max="6" width="40.26953125" customWidth="1"/>
    <col min="7" max="7" width="47.453125" customWidth="1"/>
    <col min="8" max="8" width="20" customWidth="1"/>
    <col min="9" max="9" width="16.7265625" customWidth="1"/>
    <col min="10" max="10" width="17.26953125" customWidth="1"/>
    <col min="11" max="11" width="13.26953125" customWidth="1"/>
    <col min="12" max="14" width="8.7265625" hidden="1" customWidth="1"/>
    <col min="15" max="15" width="2.08984375" customWidth="1"/>
  </cols>
  <sheetData>
    <row r="1" spans="1: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56"/>
    </row>
    <row r="2" spans="1:15">
      <c r="A2" s="3"/>
      <c r="E2" s="139" t="s">
        <v>0</v>
      </c>
      <c r="F2" s="140"/>
      <c r="G2" s="140"/>
      <c r="H2" s="140"/>
      <c r="I2" s="140"/>
      <c r="J2" s="140"/>
      <c r="K2" s="140"/>
      <c r="L2" s="140"/>
      <c r="M2" s="140"/>
      <c r="N2" s="140"/>
      <c r="O2" s="141"/>
    </row>
    <row r="3" spans="1:15">
      <c r="A3" s="3"/>
      <c r="E3" s="142"/>
      <c r="F3" s="143"/>
      <c r="G3" s="143"/>
      <c r="H3" s="143"/>
      <c r="I3" s="143"/>
      <c r="J3" s="143"/>
      <c r="K3" s="143"/>
      <c r="L3" s="143"/>
      <c r="M3" s="143"/>
      <c r="N3" s="143"/>
      <c r="O3" s="144"/>
    </row>
    <row r="4" spans="1:15">
      <c r="A4" s="3"/>
      <c r="E4" s="4">
        <v>46084</v>
      </c>
      <c r="F4" s="5"/>
      <c r="G4" s="5"/>
      <c r="H4" s="5"/>
      <c r="I4" s="5"/>
      <c r="J4" s="5"/>
      <c r="K4" s="5"/>
      <c r="L4" s="5"/>
      <c r="M4" s="5"/>
      <c r="N4" s="5"/>
      <c r="O4" s="57"/>
    </row>
    <row r="5" spans="1:15">
      <c r="A5" s="3"/>
      <c r="E5" s="6" t="s">
        <v>18</v>
      </c>
      <c r="O5" s="58"/>
    </row>
    <row r="6" spans="1:15">
      <c r="A6" s="3"/>
      <c r="E6" s="6" t="s">
        <v>19</v>
      </c>
      <c r="O6" s="58"/>
    </row>
    <row r="7" spans="1:15">
      <c r="A7" s="3"/>
      <c r="E7" s="6" t="s">
        <v>20</v>
      </c>
      <c r="O7" s="58"/>
    </row>
    <row r="8" spans="1:15">
      <c r="A8" s="3"/>
      <c r="E8" s="6" t="s">
        <v>21</v>
      </c>
      <c r="O8" s="58"/>
    </row>
    <row r="9" spans="1:15">
      <c r="A9" s="3"/>
      <c r="E9" s="7" t="s">
        <v>17</v>
      </c>
      <c r="O9" s="58"/>
    </row>
    <row r="10" spans="1:15">
      <c r="A10" s="3"/>
      <c r="O10" s="58"/>
    </row>
    <row r="11" spans="1:15">
      <c r="A11" s="3"/>
      <c r="E11" s="145" t="s">
        <v>6</v>
      </c>
      <c r="F11" s="146"/>
      <c r="G11" s="146"/>
      <c r="H11" s="146"/>
      <c r="I11" s="146"/>
      <c r="J11" s="146"/>
      <c r="K11" s="146"/>
      <c r="L11" s="146"/>
      <c r="M11" s="146"/>
      <c r="N11" s="146"/>
      <c r="O11" s="147"/>
    </row>
    <row r="12" spans="1:15">
      <c r="A12" s="3"/>
      <c r="D12" s="8"/>
      <c r="E12" s="9"/>
      <c r="F12" s="10"/>
      <c r="G12" s="10"/>
      <c r="O12" s="58"/>
    </row>
    <row r="13" spans="1:15">
      <c r="A13" s="3"/>
      <c r="D13" s="8"/>
      <c r="E13" s="11"/>
      <c r="F13" s="11"/>
      <c r="G13" s="11"/>
      <c r="H13" s="11"/>
      <c r="I13" s="11"/>
      <c r="O13" s="58"/>
    </row>
    <row r="14" spans="1:15">
      <c r="A14" s="3"/>
      <c r="D14" s="8"/>
      <c r="E14" s="164" t="s">
        <v>22</v>
      </c>
      <c r="F14" s="12" t="s">
        <v>7</v>
      </c>
      <c r="G14" s="13" t="s">
        <v>23</v>
      </c>
      <c r="H14" s="13" t="s">
        <v>24</v>
      </c>
      <c r="I14" s="13" t="s">
        <v>25</v>
      </c>
      <c r="O14" s="58"/>
    </row>
    <row r="15" spans="1:15">
      <c r="A15" s="3"/>
      <c r="D15" s="8"/>
      <c r="E15" s="165"/>
      <c r="F15" s="156" t="s">
        <v>26</v>
      </c>
      <c r="G15" s="157"/>
      <c r="H15" s="157"/>
      <c r="I15" s="158"/>
      <c r="O15" s="58"/>
    </row>
    <row r="16" spans="1:15">
      <c r="A16" s="3"/>
      <c r="D16" s="8"/>
      <c r="E16" s="165"/>
      <c r="F16" s="14">
        <v>1</v>
      </c>
      <c r="G16" s="15" t="s">
        <v>27</v>
      </c>
      <c r="H16" s="16">
        <v>375000</v>
      </c>
      <c r="I16" s="59"/>
      <c r="O16" s="58"/>
    </row>
    <row r="17" spans="1:15">
      <c r="A17" s="3"/>
      <c r="D17" s="8"/>
      <c r="E17" s="165"/>
      <c r="F17" s="17">
        <v>2</v>
      </c>
      <c r="G17" s="18" t="s">
        <v>28</v>
      </c>
      <c r="H17" s="19">
        <v>50000</v>
      </c>
      <c r="I17" s="19"/>
      <c r="O17" s="58"/>
    </row>
    <row r="18" spans="1:15">
      <c r="A18" s="3"/>
      <c r="D18" s="8"/>
      <c r="E18" s="165"/>
      <c r="F18" s="17">
        <v>3</v>
      </c>
      <c r="G18" s="18" t="s">
        <v>29</v>
      </c>
      <c r="H18" s="20">
        <v>3000</v>
      </c>
      <c r="I18" s="20"/>
      <c r="O18" s="58"/>
    </row>
    <row r="19" spans="1:15">
      <c r="A19" s="3"/>
      <c r="D19" s="8"/>
      <c r="E19" s="165"/>
      <c r="F19" s="17">
        <v>4</v>
      </c>
      <c r="G19" s="15" t="s">
        <v>30</v>
      </c>
      <c r="H19" s="21">
        <v>150000</v>
      </c>
      <c r="I19" s="23"/>
      <c r="O19" s="58"/>
    </row>
    <row r="20" spans="1:15">
      <c r="A20" s="3"/>
      <c r="D20" s="8"/>
      <c r="E20" s="165"/>
      <c r="F20" s="17">
        <v>5</v>
      </c>
      <c r="G20" s="22" t="s">
        <v>31</v>
      </c>
      <c r="H20" s="23">
        <v>20000</v>
      </c>
      <c r="I20" s="60"/>
      <c r="O20" s="58"/>
    </row>
    <row r="21" spans="1:15">
      <c r="A21" s="3"/>
      <c r="D21" s="8"/>
      <c r="E21" s="165"/>
      <c r="F21" s="17">
        <v>6</v>
      </c>
      <c r="G21" s="22" t="s">
        <v>32</v>
      </c>
      <c r="H21" s="23">
        <v>30000</v>
      </c>
      <c r="I21" s="23"/>
      <c r="O21" s="58"/>
    </row>
    <row r="22" spans="1:15">
      <c r="A22" s="3"/>
      <c r="D22" s="8"/>
      <c r="E22" s="165"/>
      <c r="F22" s="17">
        <v>7</v>
      </c>
      <c r="G22" s="15" t="s">
        <v>33</v>
      </c>
      <c r="H22" s="21">
        <v>30851</v>
      </c>
      <c r="I22" s="21"/>
      <c r="O22" s="58"/>
    </row>
    <row r="23" spans="1:15">
      <c r="A23" s="3"/>
      <c r="D23" s="8"/>
      <c r="E23" s="165"/>
      <c r="F23" s="17">
        <v>8</v>
      </c>
      <c r="G23" s="15" t="s">
        <v>34</v>
      </c>
      <c r="H23" s="21">
        <v>22500</v>
      </c>
      <c r="I23" s="21"/>
      <c r="O23" s="58"/>
    </row>
    <row r="24" spans="1:15">
      <c r="A24" s="3"/>
      <c r="D24" s="8"/>
      <c r="E24" s="165"/>
      <c r="F24" s="17">
        <v>9</v>
      </c>
      <c r="G24" s="15" t="s">
        <v>35</v>
      </c>
      <c r="H24" s="21"/>
      <c r="I24" s="21"/>
      <c r="O24" s="58"/>
    </row>
    <row r="25" spans="1:15">
      <c r="A25" s="3"/>
      <c r="D25" s="8"/>
      <c r="E25" s="165"/>
      <c r="F25" s="17">
        <v>10</v>
      </c>
      <c r="G25" s="15" t="s">
        <v>36</v>
      </c>
      <c r="H25" s="24">
        <v>10000</v>
      </c>
      <c r="I25" s="21"/>
      <c r="O25" s="58"/>
    </row>
    <row r="26" spans="1:15">
      <c r="A26" s="3"/>
      <c r="D26" s="8"/>
      <c r="E26" s="165"/>
      <c r="F26" s="17">
        <v>11</v>
      </c>
      <c r="G26" s="15" t="s">
        <v>37</v>
      </c>
      <c r="H26" s="24">
        <v>35900</v>
      </c>
      <c r="I26" s="24"/>
      <c r="O26" s="58"/>
    </row>
    <row r="27" spans="1:15">
      <c r="A27" s="3"/>
      <c r="D27" s="8"/>
      <c r="E27" s="165"/>
      <c r="F27" s="17">
        <v>12</v>
      </c>
      <c r="G27" s="25" t="s">
        <v>38</v>
      </c>
      <c r="H27" s="26">
        <v>5000</v>
      </c>
      <c r="I27" s="61"/>
      <c r="O27" s="58"/>
    </row>
    <row r="28" spans="1:15">
      <c r="A28" s="3"/>
      <c r="D28" s="8"/>
      <c r="E28" s="165"/>
      <c r="F28" s="159" t="s">
        <v>39</v>
      </c>
      <c r="G28" s="160"/>
      <c r="H28" s="160"/>
      <c r="I28" s="161"/>
      <c r="O28" s="58"/>
    </row>
    <row r="29" spans="1:15">
      <c r="A29" s="3"/>
      <c r="D29" s="8"/>
      <c r="E29" s="165"/>
      <c r="F29" s="27">
        <v>11</v>
      </c>
      <c r="G29" s="28" t="s">
        <v>40</v>
      </c>
      <c r="H29" s="29">
        <v>500000</v>
      </c>
      <c r="I29" s="23"/>
      <c r="O29" s="58"/>
    </row>
    <row r="30" spans="1:15">
      <c r="A30" s="3"/>
      <c r="D30" s="8"/>
      <c r="E30" s="165"/>
      <c r="F30" s="17">
        <v>12</v>
      </c>
      <c r="G30" s="30" t="s">
        <v>41</v>
      </c>
      <c r="H30" s="21">
        <v>50000</v>
      </c>
      <c r="I30" s="21"/>
      <c r="O30" s="58"/>
    </row>
    <row r="31" spans="1:15">
      <c r="A31" s="3"/>
      <c r="D31" s="8"/>
      <c r="E31" s="165"/>
      <c r="F31" s="17">
        <v>13</v>
      </c>
      <c r="G31" s="30" t="s">
        <v>42</v>
      </c>
      <c r="H31" s="24">
        <v>19900</v>
      </c>
      <c r="I31" s="21"/>
      <c r="O31" s="58"/>
    </row>
    <row r="32" spans="1:15">
      <c r="A32" s="3"/>
      <c r="D32" s="31" t="s">
        <v>7</v>
      </c>
      <c r="E32" s="165"/>
      <c r="F32" s="17">
        <v>14</v>
      </c>
      <c r="G32" s="32" t="s">
        <v>43</v>
      </c>
      <c r="H32" s="33">
        <v>2000</v>
      </c>
      <c r="I32" s="21"/>
      <c r="O32" s="58"/>
    </row>
    <row r="33" spans="1:15">
      <c r="A33" s="3"/>
      <c r="D33" s="34">
        <v>1</v>
      </c>
      <c r="E33" s="166"/>
      <c r="F33" s="162" t="s">
        <v>44</v>
      </c>
      <c r="G33" s="163"/>
      <c r="H33" s="35">
        <v>1304151</v>
      </c>
      <c r="I33" s="35">
        <v>0</v>
      </c>
      <c r="O33" s="58"/>
    </row>
    <row r="34" spans="1:15">
      <c r="A34" s="3"/>
      <c r="D34" s="34">
        <v>2</v>
      </c>
      <c r="E34" s="167" t="s">
        <v>45</v>
      </c>
      <c r="F34" s="38"/>
      <c r="G34" s="39"/>
      <c r="H34" s="38"/>
      <c r="I34" s="38"/>
      <c r="O34" s="58"/>
    </row>
    <row r="35" spans="1:15">
      <c r="A35" s="3"/>
      <c r="D35" s="34">
        <v>3</v>
      </c>
      <c r="E35" s="168"/>
      <c r="F35" s="38"/>
      <c r="G35" s="39"/>
      <c r="H35" s="38"/>
      <c r="I35" s="38"/>
      <c r="O35" s="58"/>
    </row>
    <row r="36" spans="1:15">
      <c r="A36" s="3"/>
      <c r="D36" s="34">
        <v>4</v>
      </c>
      <c r="E36" s="168"/>
      <c r="F36" s="38"/>
      <c r="G36" s="39"/>
      <c r="H36" s="38"/>
      <c r="I36" s="38"/>
      <c r="O36" s="58"/>
    </row>
    <row r="37" spans="1:15">
      <c r="A37" s="3"/>
      <c r="D37" s="34">
        <v>5</v>
      </c>
      <c r="E37" s="168"/>
      <c r="F37" s="38"/>
      <c r="G37" s="38"/>
      <c r="H37" s="38"/>
      <c r="I37" s="38"/>
      <c r="O37" s="58"/>
    </row>
    <row r="38" spans="1:15">
      <c r="A38" s="3"/>
      <c r="D38" s="34">
        <v>6</v>
      </c>
      <c r="E38" s="168"/>
      <c r="F38" s="38"/>
      <c r="G38" s="38"/>
      <c r="H38" s="38"/>
      <c r="I38" s="38"/>
      <c r="O38" s="58"/>
    </row>
    <row r="39" spans="1:15">
      <c r="A39" s="3"/>
      <c r="D39" s="34">
        <v>7</v>
      </c>
      <c r="E39" s="168"/>
      <c r="F39" s="38"/>
      <c r="G39" s="38"/>
      <c r="H39" s="38"/>
      <c r="I39" s="38"/>
      <c r="O39" s="58"/>
    </row>
    <row r="40" spans="1:15">
      <c r="A40" s="3"/>
      <c r="D40" s="34">
        <v>8</v>
      </c>
      <c r="E40" s="168"/>
      <c r="F40" s="38"/>
      <c r="G40" s="38"/>
      <c r="H40" s="38"/>
      <c r="I40" s="38"/>
      <c r="O40" s="58"/>
    </row>
    <row r="41" spans="1:15">
      <c r="A41" s="3"/>
      <c r="D41" s="34">
        <v>9</v>
      </c>
      <c r="E41" s="168"/>
      <c r="F41" s="38"/>
      <c r="G41" s="38"/>
      <c r="H41" s="38"/>
      <c r="I41" s="38"/>
      <c r="O41" s="58"/>
    </row>
    <row r="42" spans="1:15">
      <c r="A42" s="3"/>
      <c r="E42" s="169"/>
      <c r="F42" s="38"/>
      <c r="G42" s="38"/>
      <c r="H42" s="38"/>
      <c r="I42" s="38"/>
      <c r="O42" s="58"/>
    </row>
    <row r="43" spans="1:15">
      <c r="A43" s="3"/>
      <c r="E43" s="40"/>
      <c r="F43" s="137" t="s">
        <v>44</v>
      </c>
      <c r="G43" s="138"/>
      <c r="H43" s="35">
        <v>0</v>
      </c>
      <c r="I43" s="35">
        <v>0</v>
      </c>
      <c r="O43" s="58"/>
    </row>
    <row r="44" spans="1:15">
      <c r="A44" s="3"/>
      <c r="E44" s="40"/>
      <c r="F44" s="40"/>
      <c r="G44" s="40"/>
      <c r="H44" s="40"/>
      <c r="I44" s="40"/>
      <c r="O44" s="58"/>
    </row>
    <row r="45" spans="1:15">
      <c r="A45" s="3"/>
      <c r="E45" t="s">
        <v>12</v>
      </c>
      <c r="O45" s="58"/>
    </row>
    <row r="46" spans="1:15">
      <c r="A46" s="3"/>
      <c r="E46" s="41" t="s">
        <v>13</v>
      </c>
      <c r="O46" s="58"/>
    </row>
    <row r="47" spans="1:15">
      <c r="A47" s="3"/>
      <c r="E47" s="42" t="s">
        <v>14</v>
      </c>
      <c r="O47" s="58"/>
    </row>
    <row r="48" spans="1:15">
      <c r="A48" s="3"/>
      <c r="O48" s="58"/>
    </row>
    <row r="49" spans="1:15">
      <c r="A49" s="3"/>
      <c r="O49" s="58"/>
    </row>
    <row r="50" spans="1:15">
      <c r="A50" s="3"/>
      <c r="D50" s="43" t="s">
        <v>46</v>
      </c>
      <c r="E50" s="44"/>
      <c r="F50" s="45"/>
      <c r="G50" s="46"/>
      <c r="H50" s="47"/>
      <c r="I50" s="62"/>
      <c r="J50" s="63"/>
      <c r="K50" s="64"/>
      <c r="O50" s="58"/>
    </row>
    <row r="51" spans="1:15">
      <c r="A51" s="3"/>
      <c r="D51" s="43"/>
      <c r="E51" s="44"/>
      <c r="F51" s="150" t="s">
        <v>47</v>
      </c>
      <c r="G51" s="151"/>
      <c r="H51" s="152"/>
      <c r="I51" s="62" t="s">
        <v>48</v>
      </c>
      <c r="J51" s="65">
        <v>7565195</v>
      </c>
      <c r="K51" s="64"/>
      <c r="O51" s="58"/>
    </row>
    <row r="52" spans="1:15">
      <c r="A52" s="3"/>
      <c r="D52" s="43"/>
      <c r="E52" s="44"/>
      <c r="F52" s="153"/>
      <c r="G52" s="154"/>
      <c r="H52" s="155"/>
      <c r="I52" s="62" t="s">
        <v>49</v>
      </c>
      <c r="J52" s="66"/>
      <c r="K52" s="64"/>
      <c r="O52" s="58"/>
    </row>
    <row r="53" spans="1:15">
      <c r="A53" s="3"/>
      <c r="D53" s="43" t="s">
        <v>50</v>
      </c>
      <c r="E53" s="48" t="s">
        <v>51</v>
      </c>
      <c r="F53" s="43" t="s">
        <v>52</v>
      </c>
      <c r="G53" s="49" t="s">
        <v>53</v>
      </c>
      <c r="H53" s="49" t="s">
        <v>54</v>
      </c>
      <c r="I53" s="67" t="s">
        <v>55</v>
      </c>
      <c r="J53" s="68" t="s">
        <v>56</v>
      </c>
      <c r="K53" s="64"/>
      <c r="O53" s="58"/>
    </row>
    <row r="54" spans="1:15">
      <c r="A54" s="3"/>
      <c r="D54" s="53">
        <v>46050</v>
      </c>
      <c r="E54" s="48" t="s">
        <v>57</v>
      </c>
      <c r="F54" s="51" t="s">
        <v>58</v>
      </c>
      <c r="G54" s="52"/>
      <c r="H54" s="54">
        <v>3946000</v>
      </c>
      <c r="I54" s="70">
        <v>3619195</v>
      </c>
      <c r="J54" s="69"/>
      <c r="K54" s="64" t="s">
        <v>59</v>
      </c>
      <c r="O54" s="58"/>
    </row>
    <row r="55" spans="1:15">
      <c r="A55" s="3"/>
      <c r="D55" s="53">
        <v>46050</v>
      </c>
      <c r="E55" s="51" t="s">
        <v>60</v>
      </c>
      <c r="F55" s="51" t="s">
        <v>61</v>
      </c>
      <c r="G55" s="52"/>
      <c r="H55" s="55">
        <v>10000</v>
      </c>
      <c r="I55" s="54">
        <v>3609195</v>
      </c>
      <c r="J55" s="69"/>
      <c r="K55" s="64" t="s">
        <v>59</v>
      </c>
      <c r="O55" s="58"/>
    </row>
    <row r="56" spans="1:15">
      <c r="A56" s="3"/>
      <c r="D56" s="53">
        <v>46056</v>
      </c>
      <c r="E56" s="48" t="s">
        <v>60</v>
      </c>
      <c r="F56" s="51" t="s">
        <v>61</v>
      </c>
      <c r="G56" s="52"/>
      <c r="H56" s="55">
        <v>10000</v>
      </c>
      <c r="I56" s="54">
        <v>3599195</v>
      </c>
      <c r="J56" s="69"/>
      <c r="K56" s="64"/>
      <c r="O56" s="58"/>
    </row>
    <row r="57" spans="1:15">
      <c r="A57" s="3"/>
      <c r="D57" s="53">
        <v>46058</v>
      </c>
      <c r="E57" s="43" t="s">
        <v>62</v>
      </c>
      <c r="F57" s="51" t="s">
        <v>63</v>
      </c>
      <c r="G57" s="52"/>
      <c r="H57" s="55">
        <v>588900</v>
      </c>
      <c r="I57" s="54">
        <v>3010295</v>
      </c>
      <c r="J57" s="69"/>
      <c r="K57" s="64"/>
      <c r="O57" s="58"/>
    </row>
    <row r="58" spans="1:15">
      <c r="A58" s="3"/>
      <c r="D58" s="53">
        <v>46058</v>
      </c>
      <c r="E58" s="43" t="s">
        <v>64</v>
      </c>
      <c r="F58" s="51" t="s">
        <v>65</v>
      </c>
      <c r="G58" s="52"/>
      <c r="H58" s="55">
        <v>795547</v>
      </c>
      <c r="I58" s="54">
        <v>2214748</v>
      </c>
      <c r="J58" s="69"/>
      <c r="K58" s="81" t="s">
        <v>66</v>
      </c>
      <c r="O58" s="58"/>
    </row>
    <row r="59" spans="1:15">
      <c r="A59" s="3"/>
      <c r="D59" s="53">
        <v>46059</v>
      </c>
      <c r="E59" s="43" t="s">
        <v>67</v>
      </c>
      <c r="F59" s="51" t="s">
        <v>68</v>
      </c>
      <c r="G59" s="52"/>
      <c r="H59" s="55">
        <v>117000</v>
      </c>
      <c r="I59" s="54">
        <v>2097748</v>
      </c>
      <c r="J59" s="69"/>
      <c r="K59" s="64"/>
      <c r="O59" s="58"/>
    </row>
    <row r="60" spans="1:15">
      <c r="A60" s="3"/>
      <c r="D60" s="53">
        <v>46059</v>
      </c>
      <c r="E60" s="43" t="s">
        <v>69</v>
      </c>
      <c r="F60" s="51" t="s">
        <v>70</v>
      </c>
      <c r="G60" s="52"/>
      <c r="H60" s="55">
        <v>55800</v>
      </c>
      <c r="I60" s="54">
        <v>2041948</v>
      </c>
      <c r="J60" s="69"/>
      <c r="K60" s="64"/>
      <c r="O60" s="58"/>
    </row>
    <row r="61" spans="1:15">
      <c r="A61" s="3"/>
      <c r="D61" s="53">
        <v>46059</v>
      </c>
      <c r="E61" s="43" t="s">
        <v>60</v>
      </c>
      <c r="F61" s="51" t="s">
        <v>71</v>
      </c>
      <c r="G61" s="52"/>
      <c r="H61" s="55">
        <v>22500</v>
      </c>
      <c r="I61" s="54">
        <v>2019448</v>
      </c>
      <c r="J61" s="69"/>
      <c r="K61" s="64"/>
      <c r="O61" s="58"/>
    </row>
    <row r="62" spans="1:15">
      <c r="A62" s="3"/>
      <c r="D62" s="53">
        <v>46062</v>
      </c>
      <c r="E62" s="73" t="s">
        <v>72</v>
      </c>
      <c r="F62" s="73" t="s">
        <v>73</v>
      </c>
      <c r="G62" s="66"/>
      <c r="H62" s="52">
        <v>3000</v>
      </c>
      <c r="I62" s="54">
        <v>2016448</v>
      </c>
      <c r="J62" s="69"/>
      <c r="K62" s="64"/>
      <c r="O62" s="58"/>
    </row>
    <row r="63" spans="1:15">
      <c r="A63" s="3"/>
      <c r="D63" s="53">
        <v>46063</v>
      </c>
      <c r="E63" s="74" t="s">
        <v>74</v>
      </c>
      <c r="F63" s="73" t="s">
        <v>75</v>
      </c>
      <c r="G63" s="75"/>
      <c r="H63" s="52">
        <v>950</v>
      </c>
      <c r="I63" s="54">
        <v>2015498</v>
      </c>
      <c r="J63" s="69"/>
      <c r="K63" s="64"/>
      <c r="O63" s="58"/>
    </row>
    <row r="64" spans="1:15">
      <c r="A64" s="3"/>
      <c r="D64" s="53">
        <v>46063</v>
      </c>
      <c r="E64" s="74"/>
      <c r="F64" s="73" t="s">
        <v>76</v>
      </c>
      <c r="G64" s="75"/>
      <c r="H64" s="52">
        <v>693014</v>
      </c>
      <c r="I64" s="54">
        <v>1322484</v>
      </c>
      <c r="J64" s="69"/>
      <c r="K64" s="81" t="s">
        <v>77</v>
      </c>
      <c r="O64" s="58"/>
    </row>
    <row r="65" spans="1:15">
      <c r="A65" s="3"/>
      <c r="D65" s="53">
        <v>46063</v>
      </c>
      <c r="E65" s="74"/>
      <c r="F65" s="73" t="s">
        <v>78</v>
      </c>
      <c r="G65" s="75"/>
      <c r="H65" s="52">
        <v>8000</v>
      </c>
      <c r="I65" s="54">
        <v>1314484</v>
      </c>
      <c r="J65" s="69"/>
      <c r="K65" s="64"/>
      <c r="O65" s="58"/>
    </row>
    <row r="66" spans="1:15">
      <c r="A66" s="3"/>
      <c r="D66" s="53">
        <v>46065</v>
      </c>
      <c r="E66" s="43" t="s">
        <v>79</v>
      </c>
      <c r="F66" s="51" t="s">
        <v>80</v>
      </c>
      <c r="G66" s="52"/>
      <c r="H66" s="52">
        <v>45000</v>
      </c>
      <c r="I66" s="54">
        <v>1269484</v>
      </c>
      <c r="J66" s="69" t="s">
        <v>81</v>
      </c>
      <c r="O66" s="58"/>
    </row>
    <row r="67" spans="1:15" ht="19.8" customHeight="1">
      <c r="A67" s="71"/>
      <c r="B67" s="72"/>
      <c r="C67" s="72"/>
      <c r="D67" s="53">
        <v>46065</v>
      </c>
      <c r="E67" s="43" t="s">
        <v>69</v>
      </c>
      <c r="F67" s="51" t="s">
        <v>82</v>
      </c>
      <c r="G67" s="52"/>
      <c r="H67" s="52">
        <v>30900</v>
      </c>
      <c r="I67" s="54">
        <v>1238584</v>
      </c>
      <c r="J67" s="69" t="s">
        <v>81</v>
      </c>
      <c r="K67" s="72"/>
      <c r="L67" s="72"/>
      <c r="M67" s="72"/>
      <c r="N67" s="72"/>
      <c r="O67" s="79"/>
    </row>
    <row r="68" spans="1:15">
      <c r="D68" s="53">
        <v>46066</v>
      </c>
      <c r="E68" s="43" t="s">
        <v>83</v>
      </c>
      <c r="F68" s="51" t="s">
        <v>84</v>
      </c>
      <c r="G68" s="52"/>
      <c r="H68" s="52">
        <v>57750</v>
      </c>
      <c r="I68" s="54">
        <v>1180834</v>
      </c>
      <c r="J68" s="69" t="s">
        <v>81</v>
      </c>
      <c r="K68" s="64" t="s">
        <v>85</v>
      </c>
    </row>
    <row r="69" spans="1:15">
      <c r="D69" s="53">
        <v>46072</v>
      </c>
      <c r="E69" s="43" t="s">
        <v>86</v>
      </c>
      <c r="F69" s="51" t="s">
        <v>87</v>
      </c>
      <c r="G69" s="52"/>
      <c r="H69" s="52">
        <v>404</v>
      </c>
      <c r="I69" s="54">
        <v>1180430</v>
      </c>
      <c r="J69" s="69" t="s">
        <v>81</v>
      </c>
      <c r="K69" s="64"/>
    </row>
    <row r="70" spans="1:15">
      <c r="D70" s="53">
        <v>46072</v>
      </c>
      <c r="E70" s="43" t="s">
        <v>86</v>
      </c>
      <c r="F70" s="51" t="s">
        <v>87</v>
      </c>
      <c r="G70" s="52"/>
      <c r="H70" s="52">
        <v>1819</v>
      </c>
      <c r="I70" s="54">
        <v>1178611</v>
      </c>
      <c r="J70" s="69" t="s">
        <v>81</v>
      </c>
    </row>
    <row r="71" spans="1:15">
      <c r="D71" s="53">
        <v>46072</v>
      </c>
      <c r="E71" s="73" t="s">
        <v>57</v>
      </c>
      <c r="F71" s="73" t="s">
        <v>88</v>
      </c>
      <c r="G71" s="66"/>
      <c r="H71" s="52">
        <v>110900</v>
      </c>
      <c r="I71" s="54">
        <v>1067711</v>
      </c>
      <c r="J71" s="69" t="s">
        <v>81</v>
      </c>
    </row>
    <row r="72" spans="1:15">
      <c r="D72" s="53">
        <v>46072</v>
      </c>
      <c r="E72" s="51" t="s">
        <v>89</v>
      </c>
      <c r="F72" s="51" t="s">
        <v>90</v>
      </c>
      <c r="G72" s="52"/>
      <c r="H72" s="52">
        <v>23600</v>
      </c>
      <c r="I72" s="54">
        <v>1044111</v>
      </c>
      <c r="J72" s="69" t="s">
        <v>81</v>
      </c>
    </row>
    <row r="73" spans="1:15">
      <c r="D73" s="50">
        <v>46076</v>
      </c>
      <c r="E73" s="51" t="s">
        <v>79</v>
      </c>
      <c r="F73" s="51" t="s">
        <v>80</v>
      </c>
      <c r="G73" s="52"/>
      <c r="H73" s="52">
        <v>30000</v>
      </c>
      <c r="I73" s="54">
        <v>1014111</v>
      </c>
      <c r="J73" s="69" t="s">
        <v>81</v>
      </c>
    </row>
    <row r="74" spans="1:15">
      <c r="D74" s="50">
        <v>46076</v>
      </c>
      <c r="E74" s="51" t="s">
        <v>91</v>
      </c>
      <c r="F74" s="51" t="s">
        <v>92</v>
      </c>
      <c r="G74" s="52"/>
      <c r="H74" s="52">
        <v>1000</v>
      </c>
      <c r="I74" s="54">
        <v>1013111</v>
      </c>
      <c r="J74" s="69" t="s">
        <v>81</v>
      </c>
    </row>
    <row r="75" spans="1:15">
      <c r="D75" s="50">
        <v>46077</v>
      </c>
      <c r="E75" s="51" t="s">
        <v>93</v>
      </c>
      <c r="F75" s="51" t="s">
        <v>75</v>
      </c>
      <c r="G75" s="52"/>
      <c r="H75" s="52">
        <v>4979</v>
      </c>
      <c r="I75" s="54">
        <v>1008132</v>
      </c>
      <c r="J75" s="69" t="s">
        <v>81</v>
      </c>
    </row>
    <row r="76" spans="1:15">
      <c r="D76" s="50">
        <v>46078</v>
      </c>
      <c r="E76" s="51" t="s">
        <v>94</v>
      </c>
      <c r="F76" s="51" t="s">
        <v>95</v>
      </c>
      <c r="G76" s="52"/>
      <c r="H76" s="52">
        <v>3500</v>
      </c>
      <c r="I76" s="54">
        <v>1004632</v>
      </c>
      <c r="J76" s="69" t="s">
        <v>81</v>
      </c>
    </row>
    <row r="77" spans="1:15">
      <c r="D77" s="50">
        <v>46078</v>
      </c>
      <c r="E77" s="51" t="s">
        <v>96</v>
      </c>
      <c r="F77" s="51" t="s">
        <v>97</v>
      </c>
      <c r="G77" s="51"/>
      <c r="H77" s="77">
        <v>10000</v>
      </c>
      <c r="I77" s="54">
        <v>994632</v>
      </c>
      <c r="J77" s="69" t="s">
        <v>81</v>
      </c>
    </row>
    <row r="78" spans="1:15">
      <c r="D78" s="50">
        <v>46078</v>
      </c>
      <c r="E78" s="51" t="s">
        <v>98</v>
      </c>
      <c r="F78" s="78"/>
      <c r="G78" s="78"/>
      <c r="H78" s="77">
        <v>30000</v>
      </c>
      <c r="I78" s="54">
        <v>964632</v>
      </c>
      <c r="J78" s="69" t="s">
        <v>81</v>
      </c>
    </row>
    <row r="79" spans="1:15">
      <c r="D79" s="50"/>
      <c r="E79" s="51"/>
      <c r="F79" s="51"/>
      <c r="G79" s="51"/>
      <c r="H79" s="52"/>
      <c r="I79" s="54">
        <v>919632</v>
      </c>
      <c r="J79" s="69"/>
    </row>
    <row r="80" spans="1:15">
      <c r="D80" s="50"/>
      <c r="E80" s="51"/>
      <c r="F80" s="51"/>
      <c r="G80" s="51"/>
      <c r="H80" s="52"/>
      <c r="I80" s="54">
        <v>869632</v>
      </c>
      <c r="J80" s="69"/>
    </row>
  </sheetData>
  <mergeCells count="9">
    <mergeCell ref="E2:O3"/>
    <mergeCell ref="F51:H52"/>
    <mergeCell ref="E11:O11"/>
    <mergeCell ref="F15:I15"/>
    <mergeCell ref="F28:I28"/>
    <mergeCell ref="F33:G33"/>
    <mergeCell ref="F43:G43"/>
    <mergeCell ref="E14:E33"/>
    <mergeCell ref="E34:E42"/>
  </mergeCells>
  <pageMargins left="0.7" right="0.7" top="0.75" bottom="0.75" header="0.3" footer="0.3"/>
  <pageSetup scale="5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3"/>
  <sheetViews>
    <sheetView topLeftCell="D7" zoomScale="75" zoomScaleNormal="75" zoomScalePageLayoutView="72" workbookViewId="0">
      <selection activeCell="J90" sqref="J90"/>
    </sheetView>
  </sheetViews>
  <sheetFormatPr defaultColWidth="9" defaultRowHeight="15.6"/>
  <cols>
    <col min="2" max="2" width="1" customWidth="1"/>
    <col min="3" max="3" width="1.453125" customWidth="1"/>
    <col min="4" max="4" width="11.453125" customWidth="1"/>
    <col min="5" max="5" width="48.453125" customWidth="1"/>
    <col min="6" max="6" width="58.81640625" customWidth="1"/>
    <col min="7" max="7" width="47.453125" customWidth="1"/>
    <col min="8" max="8" width="20" customWidth="1"/>
    <col min="9" max="9" width="16.7265625" customWidth="1"/>
    <col min="10" max="10" width="33.1796875" customWidth="1"/>
    <col min="11" max="11" width="13.26953125" customWidth="1"/>
    <col min="12" max="14" width="8.7265625" hidden="1" customWidth="1"/>
    <col min="15" max="15" width="2.08984375" customWidth="1"/>
  </cols>
  <sheetData>
    <row r="1" spans="1: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56"/>
    </row>
    <row r="2" spans="1:15">
      <c r="A2" s="3"/>
      <c r="E2" s="139" t="s">
        <v>0</v>
      </c>
      <c r="F2" s="140"/>
      <c r="G2" s="140"/>
      <c r="H2" s="140"/>
      <c r="I2" s="140"/>
      <c r="J2" s="140"/>
      <c r="K2" s="140"/>
      <c r="L2" s="140"/>
      <c r="M2" s="140"/>
      <c r="N2" s="140"/>
      <c r="O2" s="141"/>
    </row>
    <row r="3" spans="1:15">
      <c r="A3" s="3"/>
      <c r="E3" s="142"/>
      <c r="F3" s="143"/>
      <c r="G3" s="143"/>
      <c r="H3" s="143"/>
      <c r="I3" s="143"/>
      <c r="J3" s="143"/>
      <c r="K3" s="143"/>
      <c r="L3" s="143"/>
      <c r="M3" s="143"/>
      <c r="N3" s="143"/>
      <c r="O3" s="144"/>
    </row>
    <row r="4" spans="1:15">
      <c r="A4" s="3"/>
      <c r="E4" s="4">
        <v>46112</v>
      </c>
      <c r="F4" s="5"/>
      <c r="G4" s="5"/>
      <c r="H4" s="5"/>
      <c r="I4" s="5"/>
      <c r="J4" s="5"/>
      <c r="K4" s="5"/>
      <c r="L4" s="5"/>
      <c r="M4" s="5"/>
      <c r="N4" s="5"/>
      <c r="O4" s="57"/>
    </row>
    <row r="5" spans="1:15">
      <c r="A5" s="3"/>
      <c r="E5" s="6" t="s">
        <v>18</v>
      </c>
      <c r="O5" s="58"/>
    </row>
    <row r="6" spans="1:15">
      <c r="A6" s="3"/>
      <c r="E6" s="6" t="s">
        <v>99</v>
      </c>
      <c r="O6" s="58"/>
    </row>
    <row r="7" spans="1:15">
      <c r="A7" s="3"/>
      <c r="E7" s="6" t="s">
        <v>100</v>
      </c>
      <c r="O7" s="58"/>
    </row>
    <row r="8" spans="1:15">
      <c r="A8" s="3"/>
      <c r="E8" s="6" t="s">
        <v>101</v>
      </c>
      <c r="O8" s="58"/>
    </row>
    <row r="9" spans="1:15">
      <c r="A9" s="3"/>
      <c r="E9" s="7" t="s">
        <v>17</v>
      </c>
      <c r="O9" s="58"/>
    </row>
    <row r="10" spans="1:15">
      <c r="A10" s="3"/>
      <c r="O10" s="58"/>
    </row>
    <row r="11" spans="1:15">
      <c r="A11" s="3"/>
      <c r="E11" s="145" t="s">
        <v>6</v>
      </c>
      <c r="F11" s="146"/>
      <c r="G11" s="146"/>
      <c r="H11" s="146"/>
      <c r="I11" s="146"/>
      <c r="J11" s="146"/>
      <c r="K11" s="146"/>
      <c r="L11" s="146"/>
      <c r="M11" s="146"/>
      <c r="N11" s="146"/>
      <c r="O11" s="147"/>
    </row>
    <row r="12" spans="1:15">
      <c r="A12" s="3"/>
      <c r="D12" s="8"/>
      <c r="E12" s="9"/>
      <c r="F12" s="10"/>
      <c r="G12" s="10"/>
      <c r="O12" s="58"/>
    </row>
    <row r="13" spans="1:15">
      <c r="A13" s="3"/>
      <c r="D13" s="8"/>
      <c r="E13" s="11"/>
      <c r="F13" s="11"/>
      <c r="G13" s="11"/>
      <c r="H13" s="11"/>
      <c r="I13" s="11"/>
      <c r="O13" s="58"/>
    </row>
    <row r="14" spans="1:15">
      <c r="A14" s="3"/>
      <c r="D14" s="8"/>
      <c r="E14" s="164" t="s">
        <v>22</v>
      </c>
      <c r="F14" s="12" t="s">
        <v>7</v>
      </c>
      <c r="G14" s="13" t="s">
        <v>23</v>
      </c>
      <c r="H14" s="13" t="s">
        <v>24</v>
      </c>
      <c r="I14" s="13" t="s">
        <v>25</v>
      </c>
      <c r="O14" s="58"/>
    </row>
    <row r="15" spans="1:15">
      <c r="A15" s="3"/>
      <c r="D15" s="8"/>
      <c r="E15" s="165"/>
      <c r="F15" s="156" t="s">
        <v>26</v>
      </c>
      <c r="G15" s="157"/>
      <c r="H15" s="157"/>
      <c r="I15" s="158"/>
      <c r="O15" s="58"/>
    </row>
    <row r="16" spans="1:15">
      <c r="A16" s="3"/>
      <c r="D16" s="8"/>
      <c r="E16" s="165"/>
      <c r="F16" s="14">
        <v>1</v>
      </c>
      <c r="G16" s="15" t="s">
        <v>27</v>
      </c>
      <c r="H16" s="16">
        <v>375000</v>
      </c>
      <c r="I16" s="59"/>
      <c r="O16" s="58"/>
    </row>
    <row r="17" spans="1:15">
      <c r="A17" s="3"/>
      <c r="D17" s="8"/>
      <c r="E17" s="165"/>
      <c r="F17" s="17">
        <v>2</v>
      </c>
      <c r="G17" s="18" t="s">
        <v>28</v>
      </c>
      <c r="H17" s="19">
        <v>50000</v>
      </c>
      <c r="I17" s="19"/>
      <c r="O17" s="58"/>
    </row>
    <row r="18" spans="1:15">
      <c r="A18" s="3"/>
      <c r="D18" s="8"/>
      <c r="E18" s="165"/>
      <c r="F18" s="17">
        <v>3</v>
      </c>
      <c r="G18" s="18" t="s">
        <v>29</v>
      </c>
      <c r="H18" s="20">
        <v>3000</v>
      </c>
      <c r="I18" s="20"/>
      <c r="O18" s="58"/>
    </row>
    <row r="19" spans="1:15">
      <c r="A19" s="3"/>
      <c r="D19" s="8"/>
      <c r="E19" s="165"/>
      <c r="F19" s="17">
        <v>4</v>
      </c>
      <c r="G19" s="15" t="s">
        <v>30</v>
      </c>
      <c r="H19" s="21">
        <v>150000</v>
      </c>
      <c r="I19" s="23"/>
      <c r="O19" s="58"/>
    </row>
    <row r="20" spans="1:15">
      <c r="A20" s="3"/>
      <c r="D20" s="8"/>
      <c r="E20" s="165"/>
      <c r="F20" s="17">
        <v>5</v>
      </c>
      <c r="G20" s="22" t="s">
        <v>31</v>
      </c>
      <c r="H20" s="23">
        <v>20000</v>
      </c>
      <c r="I20" s="60"/>
      <c r="O20" s="58"/>
    </row>
    <row r="21" spans="1:15">
      <c r="A21" s="3"/>
      <c r="D21" s="8"/>
      <c r="E21" s="165"/>
      <c r="F21" s="17">
        <v>6</v>
      </c>
      <c r="G21" s="22" t="s">
        <v>32</v>
      </c>
      <c r="H21" s="23">
        <v>30000</v>
      </c>
      <c r="I21" s="23"/>
      <c r="O21" s="58"/>
    </row>
    <row r="22" spans="1:15">
      <c r="A22" s="3"/>
      <c r="D22" s="8"/>
      <c r="E22" s="165"/>
      <c r="F22" s="17">
        <v>7</v>
      </c>
      <c r="G22" s="15" t="s">
        <v>33</v>
      </c>
      <c r="H22" s="21">
        <v>30851</v>
      </c>
      <c r="I22" s="21"/>
      <c r="O22" s="58"/>
    </row>
    <row r="23" spans="1:15">
      <c r="A23" s="3"/>
      <c r="D23" s="8"/>
      <c r="E23" s="165"/>
      <c r="F23" s="17">
        <v>8</v>
      </c>
      <c r="G23" s="15" t="s">
        <v>34</v>
      </c>
      <c r="H23" s="21">
        <v>22500</v>
      </c>
      <c r="I23" s="21"/>
      <c r="O23" s="58"/>
    </row>
    <row r="24" spans="1:15">
      <c r="A24" s="3"/>
      <c r="D24" s="8"/>
      <c r="E24" s="165"/>
      <c r="F24" s="17">
        <v>9</v>
      </c>
      <c r="G24" s="15" t="s">
        <v>35</v>
      </c>
      <c r="H24" s="21"/>
      <c r="I24" s="21"/>
      <c r="O24" s="58"/>
    </row>
    <row r="25" spans="1:15">
      <c r="A25" s="3"/>
      <c r="D25" s="8"/>
      <c r="E25" s="165"/>
      <c r="F25" s="17">
        <v>10</v>
      </c>
      <c r="G25" s="15" t="s">
        <v>36</v>
      </c>
      <c r="H25" s="24">
        <v>10000</v>
      </c>
      <c r="I25" s="21"/>
      <c r="O25" s="58"/>
    </row>
    <row r="26" spans="1:15">
      <c r="A26" s="3"/>
      <c r="D26" s="8"/>
      <c r="E26" s="165"/>
      <c r="F26" s="17">
        <v>11</v>
      </c>
      <c r="G26" s="15" t="s">
        <v>37</v>
      </c>
      <c r="H26" s="24">
        <v>35900</v>
      </c>
      <c r="I26" s="24"/>
      <c r="O26" s="58"/>
    </row>
    <row r="27" spans="1:15">
      <c r="A27" s="3"/>
      <c r="D27" s="8"/>
      <c r="E27" s="165"/>
      <c r="F27" s="17">
        <v>12</v>
      </c>
      <c r="G27" s="25" t="s">
        <v>38</v>
      </c>
      <c r="H27" s="26">
        <v>5000</v>
      </c>
      <c r="I27" s="61"/>
      <c r="O27" s="58"/>
    </row>
    <row r="28" spans="1:15">
      <c r="A28" s="3"/>
      <c r="D28" s="8"/>
      <c r="E28" s="165"/>
      <c r="F28" s="159" t="s">
        <v>39</v>
      </c>
      <c r="G28" s="160"/>
      <c r="H28" s="160"/>
      <c r="I28" s="161"/>
      <c r="O28" s="58"/>
    </row>
    <row r="29" spans="1:15">
      <c r="A29" s="3"/>
      <c r="D29" s="8"/>
      <c r="E29" s="165"/>
      <c r="F29" s="27">
        <v>11</v>
      </c>
      <c r="G29" s="28" t="s">
        <v>40</v>
      </c>
      <c r="H29" s="29">
        <v>500000</v>
      </c>
      <c r="I29" s="23"/>
      <c r="O29" s="58"/>
    </row>
    <row r="30" spans="1:15">
      <c r="A30" s="3"/>
      <c r="D30" s="8"/>
      <c r="E30" s="165"/>
      <c r="F30" s="17">
        <v>12</v>
      </c>
      <c r="G30" s="30" t="s">
        <v>41</v>
      </c>
      <c r="H30" s="21">
        <v>50000</v>
      </c>
      <c r="I30" s="21"/>
      <c r="O30" s="58"/>
    </row>
    <row r="31" spans="1:15">
      <c r="A31" s="3"/>
      <c r="D31" s="8"/>
      <c r="E31" s="165"/>
      <c r="F31" s="17">
        <v>13</v>
      </c>
      <c r="G31" s="30" t="s">
        <v>42</v>
      </c>
      <c r="H31" s="24">
        <v>19900</v>
      </c>
      <c r="I31" s="21"/>
      <c r="O31" s="58"/>
    </row>
    <row r="32" spans="1:15">
      <c r="A32" s="3"/>
      <c r="D32" s="31" t="s">
        <v>7</v>
      </c>
      <c r="E32" s="165"/>
      <c r="F32" s="17">
        <v>14</v>
      </c>
      <c r="G32" s="32" t="s">
        <v>43</v>
      </c>
      <c r="H32" s="33">
        <v>2000</v>
      </c>
      <c r="I32" s="21"/>
      <c r="O32" s="58"/>
    </row>
    <row r="33" spans="1:15">
      <c r="A33" s="3"/>
      <c r="D33" s="34">
        <v>1</v>
      </c>
      <c r="E33" s="166"/>
      <c r="F33" s="162" t="s">
        <v>44</v>
      </c>
      <c r="G33" s="163"/>
      <c r="H33" s="35">
        <v>1304151</v>
      </c>
      <c r="I33" s="35">
        <v>0</v>
      </c>
      <c r="O33" s="58"/>
    </row>
    <row r="34" spans="1:15">
      <c r="A34" s="3"/>
      <c r="D34" s="34">
        <v>2</v>
      </c>
      <c r="E34" s="167" t="s">
        <v>45</v>
      </c>
      <c r="F34" s="36"/>
      <c r="G34" s="36" t="s">
        <v>102</v>
      </c>
      <c r="H34" s="37">
        <v>20000</v>
      </c>
      <c r="I34" s="38"/>
      <c r="O34" s="58"/>
    </row>
    <row r="35" spans="1:15">
      <c r="A35" s="3"/>
      <c r="D35" s="34">
        <v>3</v>
      </c>
      <c r="E35" s="168"/>
      <c r="F35" s="36"/>
      <c r="G35" s="36" t="s">
        <v>103</v>
      </c>
      <c r="H35" s="37">
        <v>16000</v>
      </c>
      <c r="I35" s="38"/>
      <c r="O35" s="58"/>
    </row>
    <row r="36" spans="1:15">
      <c r="A36" s="3"/>
      <c r="D36" s="34">
        <v>4</v>
      </c>
      <c r="E36" s="168"/>
      <c r="F36" s="38"/>
      <c r="G36" s="39" t="s">
        <v>104</v>
      </c>
      <c r="H36" s="38">
        <v>389483</v>
      </c>
      <c r="I36" s="38"/>
      <c r="O36" s="58"/>
    </row>
    <row r="37" spans="1:15">
      <c r="A37" s="3"/>
      <c r="D37" s="34">
        <v>5</v>
      </c>
      <c r="E37" s="168"/>
      <c r="F37" s="38"/>
      <c r="G37" s="38"/>
      <c r="H37" s="38"/>
      <c r="I37" s="38"/>
      <c r="O37" s="58"/>
    </row>
    <row r="38" spans="1:15">
      <c r="A38" s="3"/>
      <c r="D38" s="34">
        <v>6</v>
      </c>
      <c r="E38" s="168"/>
      <c r="F38" s="38"/>
      <c r="G38" s="38"/>
      <c r="H38" s="38"/>
      <c r="I38" s="38"/>
      <c r="O38" s="58"/>
    </row>
    <row r="39" spans="1:15">
      <c r="A39" s="3"/>
      <c r="D39" s="34">
        <v>7</v>
      </c>
      <c r="E39" s="168"/>
      <c r="F39" s="38"/>
      <c r="G39" s="38"/>
      <c r="H39" s="38"/>
      <c r="I39" s="38"/>
      <c r="O39" s="58"/>
    </row>
    <row r="40" spans="1:15">
      <c r="A40" s="3"/>
      <c r="D40" s="34">
        <v>8</v>
      </c>
      <c r="E40" s="168"/>
      <c r="F40" s="38"/>
      <c r="G40" s="38"/>
      <c r="H40" s="38"/>
      <c r="I40" s="38"/>
      <c r="O40" s="58"/>
    </row>
    <row r="41" spans="1:15">
      <c r="A41" s="3"/>
      <c r="D41" s="34">
        <v>9</v>
      </c>
      <c r="E41" s="168"/>
      <c r="F41" s="38"/>
      <c r="G41" s="38"/>
      <c r="H41" s="38"/>
      <c r="I41" s="38"/>
      <c r="O41" s="58"/>
    </row>
    <row r="42" spans="1:15">
      <c r="A42" s="3"/>
      <c r="E42" s="169"/>
      <c r="F42" s="38"/>
      <c r="G42" s="38"/>
      <c r="H42" s="38"/>
      <c r="I42" s="38"/>
      <c r="O42" s="58"/>
    </row>
    <row r="43" spans="1:15">
      <c r="A43" s="3"/>
      <c r="E43" s="40"/>
      <c r="F43" s="137" t="s">
        <v>44</v>
      </c>
      <c r="G43" s="138"/>
      <c r="H43" s="35">
        <f>SUM(H34:H36)</f>
        <v>425483</v>
      </c>
      <c r="I43" s="35">
        <v>0</v>
      </c>
      <c r="O43" s="58"/>
    </row>
    <row r="44" spans="1:15">
      <c r="A44" s="3"/>
      <c r="E44" s="40"/>
      <c r="F44" s="40"/>
      <c r="G44" s="40"/>
      <c r="H44" s="40"/>
      <c r="I44" s="40"/>
      <c r="O44" s="58"/>
    </row>
    <row r="45" spans="1:15">
      <c r="A45" s="3"/>
      <c r="E45" s="40"/>
      <c r="F45" s="40"/>
      <c r="G45" s="40"/>
      <c r="H45" s="40"/>
      <c r="I45" s="40"/>
      <c r="O45" s="58"/>
    </row>
    <row r="46" spans="1:15">
      <c r="A46" s="3"/>
      <c r="E46" s="40"/>
      <c r="F46" s="40"/>
      <c r="G46" s="40"/>
      <c r="H46" s="40"/>
      <c r="I46" s="40"/>
      <c r="O46" s="58"/>
    </row>
    <row r="47" spans="1:15">
      <c r="A47" s="3"/>
      <c r="E47" s="40"/>
      <c r="F47" s="40"/>
      <c r="G47" s="40"/>
      <c r="H47" s="40"/>
      <c r="I47" s="40"/>
      <c r="O47" s="58"/>
    </row>
    <row r="48" spans="1:15">
      <c r="A48" s="3"/>
      <c r="E48" s="40"/>
      <c r="F48" s="40"/>
      <c r="G48" s="40"/>
      <c r="H48" s="40"/>
      <c r="I48" s="40"/>
      <c r="O48" s="58"/>
    </row>
    <row r="49" spans="1:15">
      <c r="A49" s="3"/>
      <c r="E49" s="40"/>
      <c r="F49" s="40"/>
      <c r="G49" s="40"/>
      <c r="H49" s="40"/>
      <c r="I49" s="40"/>
      <c r="O49" s="58"/>
    </row>
    <row r="50" spans="1:15">
      <c r="A50" s="3"/>
      <c r="E50" s="40"/>
      <c r="F50" s="40"/>
      <c r="G50" s="40"/>
      <c r="H50" s="40"/>
      <c r="I50" s="40"/>
      <c r="O50" s="58"/>
    </row>
    <row r="51" spans="1:15">
      <c r="A51" s="3"/>
      <c r="E51" t="s">
        <v>12</v>
      </c>
      <c r="O51" s="58"/>
    </row>
    <row r="52" spans="1:15">
      <c r="A52" s="3"/>
      <c r="E52" s="41" t="s">
        <v>13</v>
      </c>
      <c r="O52" s="58"/>
    </row>
    <row r="53" spans="1:15">
      <c r="A53" s="3"/>
      <c r="E53" s="42" t="s">
        <v>14</v>
      </c>
      <c r="O53" s="58"/>
    </row>
    <row r="54" spans="1:15">
      <c r="A54" s="3"/>
      <c r="O54" s="58"/>
    </row>
    <row r="55" spans="1:15">
      <c r="A55" s="3"/>
      <c r="O55" s="58"/>
    </row>
    <row r="56" spans="1:15">
      <c r="A56" s="3"/>
      <c r="D56" s="43" t="s">
        <v>46</v>
      </c>
      <c r="E56" s="44"/>
      <c r="F56" s="45"/>
      <c r="G56" s="46"/>
      <c r="H56" s="47"/>
      <c r="I56" s="62"/>
      <c r="J56" s="63"/>
      <c r="K56" s="64"/>
      <c r="O56" s="58"/>
    </row>
    <row r="57" spans="1:15">
      <c r="A57" s="3"/>
      <c r="D57" s="43"/>
      <c r="E57" s="44"/>
      <c r="F57" s="150" t="s">
        <v>47</v>
      </c>
      <c r="G57" s="151"/>
      <c r="H57" s="152"/>
      <c r="I57" s="62" t="s">
        <v>48</v>
      </c>
      <c r="J57" s="65">
        <v>1737732</v>
      </c>
      <c r="K57" s="64"/>
      <c r="O57" s="58"/>
    </row>
    <row r="58" spans="1:15">
      <c r="A58" s="3"/>
      <c r="D58" s="43"/>
      <c r="E58" s="44"/>
      <c r="F58" s="153"/>
      <c r="G58" s="154"/>
      <c r="H58" s="155"/>
      <c r="I58" s="62" t="s">
        <v>49</v>
      </c>
      <c r="J58" s="66"/>
      <c r="K58" s="64"/>
      <c r="O58" s="58"/>
    </row>
    <row r="59" spans="1:15">
      <c r="A59" s="3"/>
      <c r="D59" s="43" t="s">
        <v>50</v>
      </c>
      <c r="E59" s="48" t="s">
        <v>51</v>
      </c>
      <c r="F59" s="43" t="s">
        <v>52</v>
      </c>
      <c r="G59" s="49" t="s">
        <v>53</v>
      </c>
      <c r="H59" s="49" t="s">
        <v>54</v>
      </c>
      <c r="I59" s="67" t="s">
        <v>55</v>
      </c>
      <c r="J59" s="68" t="s">
        <v>56</v>
      </c>
      <c r="K59" s="64"/>
      <c r="O59" s="58"/>
    </row>
    <row r="60" spans="1:15">
      <c r="A60" s="3"/>
      <c r="D60" s="50">
        <v>46082</v>
      </c>
      <c r="E60" s="51" t="s">
        <v>105</v>
      </c>
      <c r="F60" s="51" t="s">
        <v>106</v>
      </c>
      <c r="G60" s="51"/>
      <c r="H60" s="52">
        <v>45000</v>
      </c>
      <c r="I60" s="67"/>
      <c r="J60" s="69" t="s">
        <v>81</v>
      </c>
      <c r="K60" s="64"/>
      <c r="O60" s="58"/>
    </row>
    <row r="61" spans="1:15">
      <c r="A61" s="3"/>
      <c r="D61" s="50">
        <v>46083</v>
      </c>
      <c r="E61" s="51" t="s">
        <v>107</v>
      </c>
      <c r="F61" s="51" t="s">
        <v>106</v>
      </c>
      <c r="G61" s="51"/>
      <c r="H61" s="52">
        <v>50000</v>
      </c>
      <c r="I61" s="67"/>
      <c r="J61" s="69" t="s">
        <v>81</v>
      </c>
      <c r="K61" s="64"/>
      <c r="O61" s="58"/>
    </row>
    <row r="62" spans="1:15">
      <c r="A62" s="3"/>
      <c r="D62" s="53" t="s">
        <v>108</v>
      </c>
      <c r="E62" s="48" t="s">
        <v>72</v>
      </c>
      <c r="F62" s="51" t="s">
        <v>73</v>
      </c>
      <c r="G62" s="52"/>
      <c r="H62" s="54">
        <v>3000</v>
      </c>
      <c r="I62" s="70">
        <v>1734732</v>
      </c>
      <c r="J62" s="69" t="s">
        <v>81</v>
      </c>
      <c r="K62" s="64"/>
      <c r="O62" s="58"/>
    </row>
    <row r="63" spans="1:15">
      <c r="A63" s="3"/>
      <c r="D63" s="53">
        <v>46085</v>
      </c>
      <c r="E63" s="51" t="s">
        <v>79</v>
      </c>
      <c r="F63" s="51" t="s">
        <v>80</v>
      </c>
      <c r="G63" s="52"/>
      <c r="H63" s="55">
        <v>39500</v>
      </c>
      <c r="I63" s="70">
        <v>1695232</v>
      </c>
      <c r="J63" s="69" t="s">
        <v>81</v>
      </c>
      <c r="K63" s="64"/>
      <c r="O63" s="58"/>
    </row>
    <row r="64" spans="1:15">
      <c r="A64" s="3"/>
      <c r="D64" s="53">
        <v>46086</v>
      </c>
      <c r="E64" s="48" t="s">
        <v>109</v>
      </c>
      <c r="F64" s="51" t="s">
        <v>110</v>
      </c>
      <c r="G64" s="52"/>
      <c r="H64" s="55">
        <v>2500</v>
      </c>
      <c r="I64" s="70">
        <v>1692732</v>
      </c>
      <c r="J64" s="69" t="s">
        <v>81</v>
      </c>
      <c r="K64" s="64"/>
      <c r="O64" s="58"/>
    </row>
    <row r="65" spans="1:15">
      <c r="A65" s="3"/>
      <c r="D65" s="53">
        <v>46086</v>
      </c>
      <c r="E65" s="43" t="s">
        <v>111</v>
      </c>
      <c r="F65" s="51" t="s">
        <v>112</v>
      </c>
      <c r="G65" s="52"/>
      <c r="H65" s="55">
        <v>2500</v>
      </c>
      <c r="I65" s="70">
        <v>1690232</v>
      </c>
      <c r="J65" s="69" t="s">
        <v>81</v>
      </c>
      <c r="K65" s="64"/>
      <c r="O65" s="58"/>
    </row>
    <row r="66" spans="1:15">
      <c r="A66" s="3"/>
      <c r="D66" s="53">
        <v>46087</v>
      </c>
      <c r="E66" s="43" t="s">
        <v>60</v>
      </c>
      <c r="F66" s="51" t="s">
        <v>113</v>
      </c>
      <c r="G66" s="52"/>
      <c r="H66" s="55">
        <v>22500</v>
      </c>
      <c r="I66" s="70">
        <v>1667732</v>
      </c>
      <c r="J66" s="69" t="s">
        <v>81</v>
      </c>
      <c r="K66" s="64"/>
      <c r="O66" s="58"/>
    </row>
    <row r="67" spans="1:15">
      <c r="A67" s="3"/>
      <c r="D67" s="53">
        <v>46090</v>
      </c>
      <c r="E67" s="43" t="s">
        <v>60</v>
      </c>
      <c r="F67" s="51" t="s">
        <v>114</v>
      </c>
      <c r="G67" s="52"/>
      <c r="H67" s="55">
        <v>30000</v>
      </c>
      <c r="I67" s="70">
        <v>1637732</v>
      </c>
      <c r="J67" s="69" t="s">
        <v>81</v>
      </c>
      <c r="K67" s="64"/>
      <c r="O67" s="58"/>
    </row>
    <row r="68" spans="1:15">
      <c r="A68" s="3"/>
      <c r="D68" s="53">
        <v>46090</v>
      </c>
      <c r="E68" s="43" t="s">
        <v>39</v>
      </c>
      <c r="F68" s="51" t="s">
        <v>115</v>
      </c>
      <c r="G68" s="52"/>
      <c r="H68" s="55">
        <v>30000</v>
      </c>
      <c r="I68" s="70">
        <v>1607732</v>
      </c>
      <c r="J68" s="69" t="s">
        <v>81</v>
      </c>
      <c r="K68" s="64"/>
      <c r="O68" s="58"/>
    </row>
    <row r="69" spans="1:15">
      <c r="A69" s="3"/>
      <c r="D69" s="53">
        <v>46090</v>
      </c>
      <c r="E69" s="43" t="s">
        <v>116</v>
      </c>
      <c r="F69" s="51" t="s">
        <v>117</v>
      </c>
      <c r="G69" s="52"/>
      <c r="H69" s="55">
        <v>868100</v>
      </c>
      <c r="I69" s="70">
        <v>739632</v>
      </c>
      <c r="J69" s="69" t="s">
        <v>81</v>
      </c>
      <c r="K69" s="64"/>
      <c r="O69" s="58"/>
    </row>
    <row r="70" spans="1:15">
      <c r="A70" s="3"/>
      <c r="D70" s="53">
        <v>46092</v>
      </c>
      <c r="E70" s="43" t="s">
        <v>69</v>
      </c>
      <c r="F70" s="51" t="s">
        <v>82</v>
      </c>
      <c r="G70" s="52"/>
      <c r="H70" s="55">
        <v>30800</v>
      </c>
      <c r="I70" s="70">
        <v>708832</v>
      </c>
      <c r="J70" s="69" t="s">
        <v>81</v>
      </c>
      <c r="K70" s="64"/>
      <c r="O70" s="58"/>
    </row>
    <row r="71" spans="1:15">
      <c r="A71" s="3"/>
      <c r="D71" s="53">
        <v>46098</v>
      </c>
      <c r="E71" s="43" t="s">
        <v>79</v>
      </c>
      <c r="F71" s="51" t="s">
        <v>118</v>
      </c>
      <c r="G71" s="52"/>
      <c r="H71" s="55">
        <v>35000</v>
      </c>
      <c r="I71" s="70">
        <v>673832</v>
      </c>
      <c r="J71" s="69" t="s">
        <v>81</v>
      </c>
      <c r="K71" s="64"/>
      <c r="O71" s="58"/>
    </row>
    <row r="72" spans="1:15">
      <c r="A72" s="3"/>
      <c r="D72" s="53">
        <v>46099</v>
      </c>
      <c r="E72" s="43" t="s">
        <v>72</v>
      </c>
      <c r="F72" s="51" t="s">
        <v>73</v>
      </c>
      <c r="G72" s="52"/>
      <c r="H72" s="55">
        <v>3000</v>
      </c>
      <c r="I72" s="70">
        <v>670832</v>
      </c>
      <c r="J72" s="69" t="s">
        <v>81</v>
      </c>
      <c r="K72" s="64"/>
      <c r="O72" s="58"/>
    </row>
    <row r="73" spans="1:15">
      <c r="A73" s="3"/>
      <c r="D73" s="53">
        <v>46100</v>
      </c>
      <c r="E73" s="43" t="s">
        <v>69</v>
      </c>
      <c r="F73" s="51" t="s">
        <v>119</v>
      </c>
      <c r="G73" s="52"/>
      <c r="H73" s="55">
        <v>33200</v>
      </c>
      <c r="I73" s="70">
        <v>637632</v>
      </c>
      <c r="J73" s="69" t="s">
        <v>81</v>
      </c>
      <c r="K73" s="64"/>
      <c r="O73" s="58"/>
    </row>
    <row r="74" spans="1:15">
      <c r="A74" s="3"/>
      <c r="D74" s="53">
        <v>46100</v>
      </c>
      <c r="E74" s="43" t="s">
        <v>69</v>
      </c>
      <c r="F74" s="51" t="s">
        <v>120</v>
      </c>
      <c r="G74" s="52"/>
      <c r="H74" s="55">
        <v>19900</v>
      </c>
      <c r="I74" s="70">
        <v>617732</v>
      </c>
      <c r="J74" s="69" t="s">
        <v>81</v>
      </c>
      <c r="K74" s="64"/>
      <c r="O74" s="58"/>
    </row>
    <row r="75" spans="1:15" ht="19.8" customHeight="1">
      <c r="A75" s="71"/>
      <c r="B75" s="72"/>
      <c r="C75" s="72"/>
      <c r="D75" s="53">
        <v>46104</v>
      </c>
      <c r="E75" s="73" t="s">
        <v>121</v>
      </c>
      <c r="F75" s="73" t="s">
        <v>122</v>
      </c>
      <c r="G75" s="66"/>
      <c r="H75" s="52">
        <v>5000</v>
      </c>
      <c r="I75" s="70">
        <v>612732</v>
      </c>
      <c r="J75" s="69" t="s">
        <v>81</v>
      </c>
      <c r="K75" s="64"/>
      <c r="L75" s="72"/>
      <c r="M75" s="72"/>
      <c r="N75" s="72"/>
      <c r="O75" s="79"/>
    </row>
    <row r="76" spans="1:15">
      <c r="D76" s="53">
        <v>46104</v>
      </c>
      <c r="E76" s="74" t="s">
        <v>123</v>
      </c>
      <c r="F76" s="73" t="s">
        <v>124</v>
      </c>
      <c r="G76" s="75"/>
      <c r="H76" s="52">
        <v>3630</v>
      </c>
      <c r="I76" s="70">
        <v>609102</v>
      </c>
      <c r="J76" s="69" t="s">
        <v>81</v>
      </c>
      <c r="K76" s="64"/>
    </row>
    <row r="77" spans="1:15">
      <c r="D77" s="53">
        <v>46106</v>
      </c>
      <c r="E77" s="74" t="s">
        <v>125</v>
      </c>
      <c r="F77" s="73" t="s">
        <v>126</v>
      </c>
      <c r="G77" s="75"/>
      <c r="H77" s="52">
        <v>117246</v>
      </c>
      <c r="I77" s="70">
        <v>491856</v>
      </c>
      <c r="J77" s="69" t="s">
        <v>81</v>
      </c>
      <c r="K77" s="64"/>
    </row>
    <row r="78" spans="1:15">
      <c r="D78" s="53">
        <v>46106</v>
      </c>
      <c r="E78" s="74" t="s">
        <v>93</v>
      </c>
      <c r="F78" s="73" t="s">
        <v>127</v>
      </c>
      <c r="G78" s="75"/>
      <c r="H78" s="52">
        <v>850</v>
      </c>
      <c r="I78" s="70">
        <v>491006</v>
      </c>
      <c r="J78" s="69" t="s">
        <v>81</v>
      </c>
      <c r="K78" s="64"/>
    </row>
    <row r="79" spans="1:15">
      <c r="D79" s="53">
        <v>46107</v>
      </c>
      <c r="E79" s="43" t="s">
        <v>96</v>
      </c>
      <c r="F79" s="51" t="s">
        <v>128</v>
      </c>
      <c r="G79" s="52"/>
      <c r="H79" s="52">
        <v>10000</v>
      </c>
      <c r="I79" s="70">
        <v>481006</v>
      </c>
      <c r="J79" s="69" t="s">
        <v>81</v>
      </c>
      <c r="K79" s="64"/>
    </row>
    <row r="80" spans="1:15">
      <c r="D80" s="53">
        <v>46107</v>
      </c>
      <c r="E80" s="43" t="s">
        <v>129</v>
      </c>
      <c r="F80" s="51" t="s">
        <v>130</v>
      </c>
      <c r="G80" s="52"/>
      <c r="H80" s="52">
        <v>30000</v>
      </c>
      <c r="I80" s="70">
        <v>451006</v>
      </c>
      <c r="J80" s="69" t="s">
        <v>81</v>
      </c>
      <c r="K80" s="64"/>
    </row>
    <row r="81" spans="4:11">
      <c r="D81" s="53">
        <v>46107</v>
      </c>
      <c r="E81" s="43" t="s">
        <v>131</v>
      </c>
      <c r="F81" s="51" t="s">
        <v>132</v>
      </c>
      <c r="G81" s="52"/>
      <c r="H81" s="52">
        <v>70000</v>
      </c>
      <c r="I81" s="70">
        <v>381006</v>
      </c>
      <c r="J81" s="69" t="s">
        <v>81</v>
      </c>
      <c r="K81" s="64"/>
    </row>
    <row r="82" spans="4:11">
      <c r="D82" s="53">
        <v>46109</v>
      </c>
      <c r="E82" s="43" t="s">
        <v>131</v>
      </c>
      <c r="F82" s="51" t="s">
        <v>133</v>
      </c>
      <c r="G82" s="52"/>
      <c r="H82" s="52">
        <v>50000</v>
      </c>
      <c r="I82" s="70">
        <v>331006</v>
      </c>
      <c r="J82" s="69" t="s">
        <v>81</v>
      </c>
      <c r="K82" s="64"/>
    </row>
    <row r="83" spans="4:11">
      <c r="D83" s="53">
        <v>46111</v>
      </c>
      <c r="E83" s="43" t="s">
        <v>134</v>
      </c>
      <c r="F83" s="51" t="s">
        <v>135</v>
      </c>
      <c r="G83" s="52"/>
      <c r="H83" s="52">
        <v>3700</v>
      </c>
      <c r="I83" s="70">
        <v>327306</v>
      </c>
      <c r="J83" s="69" t="s">
        <v>81</v>
      </c>
      <c r="K83" s="64"/>
    </row>
    <row r="84" spans="4:11">
      <c r="D84" s="53">
        <v>46111</v>
      </c>
      <c r="E84" s="73" t="s">
        <v>136</v>
      </c>
      <c r="F84" s="73" t="s">
        <v>137</v>
      </c>
      <c r="G84" s="66"/>
      <c r="H84" s="52">
        <v>368000</v>
      </c>
      <c r="I84" s="70">
        <v>-40694</v>
      </c>
      <c r="J84" s="69" t="s">
        <v>81</v>
      </c>
      <c r="K84" s="64"/>
    </row>
    <row r="85" spans="4:11">
      <c r="D85" s="53">
        <v>46111</v>
      </c>
      <c r="E85" s="51" t="s">
        <v>138</v>
      </c>
      <c r="F85" s="51" t="s">
        <v>139</v>
      </c>
      <c r="G85" s="52"/>
      <c r="H85" s="52">
        <v>20939</v>
      </c>
      <c r="I85" s="70">
        <v>-61633</v>
      </c>
      <c r="J85" s="69" t="s">
        <v>81</v>
      </c>
      <c r="K85" s="64"/>
    </row>
    <row r="86" spans="4:11">
      <c r="D86" s="53">
        <v>46111</v>
      </c>
      <c r="E86" s="51" t="s">
        <v>140</v>
      </c>
      <c r="F86" s="51" t="s">
        <v>141</v>
      </c>
      <c r="G86" s="52"/>
      <c r="H86" s="76">
        <v>250000</v>
      </c>
      <c r="I86" s="70">
        <v>-311633</v>
      </c>
      <c r="J86" s="69" t="s">
        <v>142</v>
      </c>
      <c r="K86" s="64"/>
    </row>
    <row r="87" spans="4:11">
      <c r="D87" s="53">
        <v>46111</v>
      </c>
      <c r="E87" s="51" t="s">
        <v>79</v>
      </c>
      <c r="F87" s="51" t="s">
        <v>80</v>
      </c>
      <c r="G87" s="52"/>
      <c r="H87" s="52">
        <v>49850</v>
      </c>
      <c r="I87" s="70">
        <v>-361483</v>
      </c>
      <c r="J87" s="69" t="s">
        <v>81</v>
      </c>
      <c r="K87" s="64"/>
    </row>
    <row r="88" spans="4:11">
      <c r="D88" s="53">
        <v>46111</v>
      </c>
      <c r="E88" s="51" t="s">
        <v>136</v>
      </c>
      <c r="F88" s="51" t="s">
        <v>143</v>
      </c>
      <c r="G88" s="52"/>
      <c r="H88" s="52">
        <v>8000</v>
      </c>
      <c r="I88" s="70">
        <v>-369483</v>
      </c>
      <c r="J88" s="69" t="s">
        <v>81</v>
      </c>
      <c r="K88" s="64"/>
    </row>
    <row r="89" spans="4:11">
      <c r="D89" s="53">
        <v>46111</v>
      </c>
      <c r="E89" s="51" t="s">
        <v>136</v>
      </c>
      <c r="F89" s="51" t="s">
        <v>144</v>
      </c>
      <c r="G89" s="52"/>
      <c r="H89" s="52">
        <v>20000</v>
      </c>
      <c r="I89" s="70">
        <v>-389483</v>
      </c>
      <c r="J89" s="69" t="s">
        <v>81</v>
      </c>
      <c r="K89" s="64"/>
    </row>
    <row r="90" spans="4:11">
      <c r="D90" s="50"/>
      <c r="E90" s="51"/>
      <c r="F90" s="51"/>
      <c r="G90" s="51"/>
      <c r="H90" s="77"/>
      <c r="I90" s="80">
        <v>-389483</v>
      </c>
      <c r="J90" s="51" t="s">
        <v>145</v>
      </c>
      <c r="K90" s="64"/>
    </row>
    <row r="91" spans="4:11">
      <c r="D91" s="50"/>
      <c r="E91" s="51"/>
      <c r="F91" s="78"/>
      <c r="G91" s="78"/>
      <c r="H91" s="77"/>
      <c r="I91" s="54"/>
      <c r="J91" s="78"/>
      <c r="K91" s="64"/>
    </row>
    <row r="92" spans="4:11">
      <c r="D92" s="50"/>
      <c r="E92" s="51"/>
      <c r="F92" s="51"/>
      <c r="G92" s="51"/>
      <c r="H92" s="52"/>
      <c r="I92" s="54"/>
      <c r="J92" s="66"/>
    </row>
    <row r="93" spans="4:11">
      <c r="D93" s="50"/>
      <c r="E93" s="51"/>
      <c r="F93" s="51"/>
      <c r="G93" s="51"/>
      <c r="H93" s="52"/>
      <c r="I93" s="54"/>
      <c r="J93" s="66"/>
    </row>
  </sheetData>
  <mergeCells count="9">
    <mergeCell ref="F57:H58"/>
    <mergeCell ref="E2:O3"/>
    <mergeCell ref="E11:O11"/>
    <mergeCell ref="F15:I15"/>
    <mergeCell ref="F28:I28"/>
    <mergeCell ref="F33:G33"/>
    <mergeCell ref="F43:G43"/>
    <mergeCell ref="E14:E33"/>
    <mergeCell ref="E34:E42"/>
  </mergeCells>
  <pageMargins left="0.7" right="0.7" top="0.75" bottom="0.75" header="0.3" footer="0.3"/>
  <pageSetup scale="58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94E2-427D-4BDB-8D4A-026292DC0ED4}">
  <dimension ref="A1:Q127"/>
  <sheetViews>
    <sheetView topLeftCell="D14" zoomScale="67" zoomScaleNormal="82" zoomScalePageLayoutView="72" workbookViewId="0">
      <selection activeCell="E9" sqref="E9"/>
    </sheetView>
  </sheetViews>
  <sheetFormatPr defaultColWidth="9" defaultRowHeight="15.6"/>
  <cols>
    <col min="2" max="2" width="1" customWidth="1"/>
    <col min="3" max="3" width="1.453125" customWidth="1"/>
    <col min="4" max="4" width="11.453125" customWidth="1"/>
    <col min="5" max="5" width="48.453125" customWidth="1"/>
    <col min="6" max="6" width="58.81640625" customWidth="1"/>
    <col min="7" max="7" width="47.453125" customWidth="1"/>
    <col min="8" max="8" width="20" customWidth="1"/>
    <col min="9" max="9" width="30.90625" customWidth="1"/>
    <col min="10" max="10" width="33.1796875" customWidth="1"/>
    <col min="11" max="11" width="44.90625" customWidth="1"/>
    <col min="12" max="13" width="8.7265625" hidden="1" customWidth="1"/>
    <col min="14" max="14" width="10.6328125" customWidth="1"/>
    <col min="15" max="15" width="42.453125" customWidth="1"/>
    <col min="16" max="16" width="15.1796875" customWidth="1"/>
  </cols>
  <sheetData>
    <row r="1" spans="1: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56"/>
    </row>
    <row r="2" spans="1:15">
      <c r="A2" s="3"/>
      <c r="E2" s="139" t="s">
        <v>182</v>
      </c>
      <c r="F2" s="140"/>
      <c r="G2" s="140"/>
      <c r="H2" s="140"/>
      <c r="I2" s="140"/>
      <c r="J2" s="140"/>
      <c r="K2" s="140"/>
      <c r="L2" s="140"/>
      <c r="M2" s="140"/>
      <c r="N2" s="140"/>
      <c r="O2" s="141"/>
    </row>
    <row r="3" spans="1:15">
      <c r="A3" s="3"/>
      <c r="E3" s="142"/>
      <c r="F3" s="143"/>
      <c r="G3" s="143"/>
      <c r="H3" s="143"/>
      <c r="I3" s="143"/>
      <c r="J3" s="143"/>
      <c r="K3" s="143"/>
      <c r="L3" s="143"/>
      <c r="M3" s="143"/>
      <c r="N3" s="143"/>
      <c r="O3" s="144"/>
    </row>
    <row r="4" spans="1:15">
      <c r="A4" s="3"/>
      <c r="E4" s="4">
        <v>46140</v>
      </c>
      <c r="F4" s="5"/>
      <c r="G4" s="5"/>
      <c r="H4" s="5"/>
      <c r="I4" s="5"/>
      <c r="J4" s="5"/>
      <c r="K4" s="5"/>
      <c r="L4" s="5"/>
      <c r="M4" s="5"/>
      <c r="N4" s="5"/>
      <c r="O4" s="57"/>
    </row>
    <row r="5" spans="1:15">
      <c r="A5" s="3"/>
      <c r="E5" s="6" t="s">
        <v>18</v>
      </c>
      <c r="O5" s="58"/>
    </row>
    <row r="6" spans="1:15">
      <c r="A6" s="3"/>
      <c r="E6" s="6" t="s">
        <v>146</v>
      </c>
      <c r="O6" s="58"/>
    </row>
    <row r="7" spans="1:15">
      <c r="A7" s="3"/>
      <c r="E7" s="108" t="s">
        <v>180</v>
      </c>
      <c r="O7" s="58"/>
    </row>
    <row r="8" spans="1:15" ht="16.2" thickBot="1">
      <c r="A8" s="3"/>
      <c r="E8" s="111" t="s">
        <v>181</v>
      </c>
      <c r="O8" s="58"/>
    </row>
    <row r="9" spans="1:15" ht="16.2" thickBot="1">
      <c r="A9" s="3"/>
      <c r="E9" s="109"/>
      <c r="O9" s="58"/>
    </row>
    <row r="10" spans="1:15">
      <c r="A10" s="3"/>
      <c r="O10" s="58"/>
    </row>
    <row r="11" spans="1:15">
      <c r="A11" s="3"/>
      <c r="E11" s="145" t="s">
        <v>6</v>
      </c>
      <c r="F11" s="146"/>
      <c r="G11" s="146"/>
      <c r="H11" s="146"/>
      <c r="I11" s="146"/>
      <c r="J11" s="146"/>
      <c r="K11" s="146"/>
      <c r="L11" s="146"/>
      <c r="M11" s="146"/>
      <c r="N11" s="146"/>
      <c r="O11" s="147"/>
    </row>
    <row r="12" spans="1:15" ht="16.2" thickBot="1">
      <c r="A12" s="3"/>
      <c r="D12" s="8"/>
      <c r="E12" s="9"/>
      <c r="F12" s="10"/>
      <c r="G12" s="10"/>
      <c r="O12" s="58"/>
    </row>
    <row r="13" spans="1:15" ht="16.2" thickBot="1">
      <c r="A13" s="3"/>
      <c r="D13" s="8"/>
      <c r="E13" s="164" t="s">
        <v>22</v>
      </c>
      <c r="F13" s="12" t="s">
        <v>7</v>
      </c>
      <c r="G13" s="13" t="s">
        <v>23</v>
      </c>
      <c r="H13" s="13" t="s">
        <v>24</v>
      </c>
      <c r="I13" s="13" t="s">
        <v>25</v>
      </c>
      <c r="O13" s="58"/>
    </row>
    <row r="14" spans="1:15" ht="16.2" thickBot="1">
      <c r="A14" s="3"/>
      <c r="D14" s="8"/>
      <c r="E14" s="165"/>
      <c r="F14" s="156" t="s">
        <v>26</v>
      </c>
      <c r="G14" s="157"/>
      <c r="H14" s="157"/>
      <c r="I14" s="158"/>
      <c r="O14" s="58"/>
    </row>
    <row r="15" spans="1:15">
      <c r="A15" s="3"/>
      <c r="D15" s="8"/>
      <c r="E15" s="165"/>
      <c r="F15" s="14">
        <v>1</v>
      </c>
      <c r="G15" s="15" t="s">
        <v>27</v>
      </c>
      <c r="H15" s="16">
        <v>375000</v>
      </c>
      <c r="I15" s="59"/>
      <c r="O15" s="58"/>
    </row>
    <row r="16" spans="1:15">
      <c r="A16" s="3"/>
      <c r="D16" s="8"/>
      <c r="E16" s="165"/>
      <c r="F16" s="17">
        <v>2</v>
      </c>
      <c r="G16" s="18" t="s">
        <v>28</v>
      </c>
      <c r="H16" s="19">
        <v>50000</v>
      </c>
      <c r="I16" s="19"/>
      <c r="O16" s="58"/>
    </row>
    <row r="17" spans="1:15">
      <c r="A17" s="3"/>
      <c r="D17" s="8"/>
      <c r="E17" s="165"/>
      <c r="F17" s="17">
        <v>3</v>
      </c>
      <c r="G17" s="18" t="s">
        <v>29</v>
      </c>
      <c r="H17" s="20">
        <v>3000</v>
      </c>
      <c r="I17" s="20"/>
      <c r="O17" s="58"/>
    </row>
    <row r="18" spans="1:15">
      <c r="A18" s="3"/>
      <c r="D18" s="8"/>
      <c r="E18" s="165"/>
      <c r="F18" s="17">
        <v>4</v>
      </c>
      <c r="G18" s="15" t="s">
        <v>30</v>
      </c>
      <c r="H18" s="21">
        <v>150000</v>
      </c>
      <c r="I18" s="23"/>
      <c r="O18" s="58"/>
    </row>
    <row r="19" spans="1:15">
      <c r="A19" s="3"/>
      <c r="D19" s="8"/>
      <c r="E19" s="165"/>
      <c r="F19" s="17">
        <v>5</v>
      </c>
      <c r="G19" s="22" t="s">
        <v>31</v>
      </c>
      <c r="H19" s="90">
        <v>20000</v>
      </c>
      <c r="I19" s="38"/>
      <c r="O19" s="58"/>
    </row>
    <row r="20" spans="1:15">
      <c r="A20" s="3"/>
      <c r="D20" s="8"/>
      <c r="E20" s="165"/>
      <c r="F20" s="17">
        <v>6</v>
      </c>
      <c r="G20" s="22" t="s">
        <v>32</v>
      </c>
      <c r="H20" s="23">
        <v>30000</v>
      </c>
      <c r="I20" s="23"/>
      <c r="O20" s="58"/>
    </row>
    <row r="21" spans="1:15">
      <c r="A21" s="3"/>
      <c r="D21" s="8"/>
      <c r="E21" s="165"/>
      <c r="F21" s="17">
        <v>7</v>
      </c>
      <c r="G21" s="15" t="s">
        <v>33</v>
      </c>
      <c r="H21" s="21">
        <v>30851</v>
      </c>
      <c r="I21" s="21"/>
      <c r="O21" s="58"/>
    </row>
    <row r="22" spans="1:15">
      <c r="A22" s="3"/>
      <c r="D22" s="8"/>
      <c r="E22" s="165"/>
      <c r="F22" s="17">
        <v>8</v>
      </c>
      <c r="G22" s="15" t="s">
        <v>34</v>
      </c>
      <c r="H22" s="21">
        <v>22500</v>
      </c>
      <c r="I22" s="21"/>
      <c r="O22" s="58"/>
    </row>
    <row r="23" spans="1:15">
      <c r="A23" s="3"/>
      <c r="D23" s="8"/>
      <c r="E23" s="165"/>
      <c r="F23" s="17">
        <v>9</v>
      </c>
      <c r="G23" s="15" t="s">
        <v>177</v>
      </c>
      <c r="H23" s="21"/>
      <c r="I23" s="21"/>
      <c r="O23" s="58"/>
    </row>
    <row r="24" spans="1:15">
      <c r="A24" s="3"/>
      <c r="D24" s="8"/>
      <c r="E24" s="165"/>
      <c r="F24" s="17">
        <v>10</v>
      </c>
      <c r="G24" s="15" t="s">
        <v>35</v>
      </c>
      <c r="H24" s="21"/>
      <c r="I24" s="21"/>
      <c r="O24" s="58"/>
    </row>
    <row r="25" spans="1:15">
      <c r="A25" s="3"/>
      <c r="D25" s="8"/>
      <c r="E25" s="165"/>
      <c r="F25" s="17">
        <v>11</v>
      </c>
      <c r="G25" s="15" t="s">
        <v>36</v>
      </c>
      <c r="H25" s="24">
        <v>10000</v>
      </c>
      <c r="I25" s="21"/>
      <c r="O25" s="58"/>
    </row>
    <row r="26" spans="1:15">
      <c r="A26" s="3"/>
      <c r="D26" s="8"/>
      <c r="E26" s="165"/>
      <c r="F26" s="17">
        <v>12</v>
      </c>
      <c r="G26" s="15" t="s">
        <v>37</v>
      </c>
      <c r="H26" s="24">
        <v>35900</v>
      </c>
      <c r="I26" s="24"/>
      <c r="O26" s="58"/>
    </row>
    <row r="27" spans="1:15" ht="16.2" thickBot="1">
      <c r="A27" s="3"/>
      <c r="D27" s="8"/>
      <c r="E27" s="165"/>
      <c r="F27" s="17">
        <v>13</v>
      </c>
      <c r="G27" s="25" t="s">
        <v>38</v>
      </c>
      <c r="H27" s="26">
        <v>5000</v>
      </c>
      <c r="I27" s="61"/>
      <c r="O27" s="58"/>
    </row>
    <row r="28" spans="1:15" ht="16.2" thickBot="1">
      <c r="A28" s="3"/>
      <c r="D28" s="8"/>
      <c r="E28" s="165"/>
      <c r="F28" s="99" t="s">
        <v>39</v>
      </c>
      <c r="G28" s="100"/>
      <c r="H28" s="100"/>
      <c r="I28" s="101"/>
      <c r="O28" s="58"/>
    </row>
    <row r="29" spans="1:15">
      <c r="A29" s="3"/>
      <c r="D29" s="8"/>
      <c r="E29" s="165"/>
      <c r="F29" s="27">
        <v>14</v>
      </c>
      <c r="G29" s="28" t="s">
        <v>40</v>
      </c>
      <c r="H29" s="29">
        <v>500000</v>
      </c>
      <c r="I29" s="23"/>
      <c r="O29" s="58"/>
    </row>
    <row r="30" spans="1:15">
      <c r="A30" s="3"/>
      <c r="D30" s="8"/>
      <c r="E30" s="165"/>
      <c r="F30" s="17">
        <v>15</v>
      </c>
      <c r="G30" s="30" t="s">
        <v>41</v>
      </c>
      <c r="H30" s="21">
        <v>50000</v>
      </c>
      <c r="I30" s="21"/>
      <c r="O30" s="58"/>
    </row>
    <row r="31" spans="1:15">
      <c r="A31" s="3"/>
      <c r="D31" s="8"/>
      <c r="E31" s="165"/>
      <c r="F31" s="27">
        <v>16</v>
      </c>
      <c r="G31" s="30" t="s">
        <v>42</v>
      </c>
      <c r="H31" s="24">
        <v>19900</v>
      </c>
      <c r="I31" s="21"/>
      <c r="O31" s="58"/>
    </row>
    <row r="32" spans="1:15" ht="16.2" thickBot="1">
      <c r="A32" s="3"/>
      <c r="D32" s="31" t="s">
        <v>7</v>
      </c>
      <c r="E32" s="165"/>
      <c r="F32" s="17">
        <v>17</v>
      </c>
      <c r="G32" s="32" t="s">
        <v>43</v>
      </c>
      <c r="H32" s="33">
        <v>2000</v>
      </c>
      <c r="I32" s="21"/>
      <c r="O32" s="58"/>
    </row>
    <row r="33" spans="1:15">
      <c r="A33" s="3"/>
      <c r="D33" s="34">
        <v>1</v>
      </c>
      <c r="E33" s="165"/>
      <c r="F33" s="162" t="s">
        <v>44</v>
      </c>
      <c r="G33" s="163"/>
      <c r="H33" s="35">
        <f>SUM(H15:H32)</f>
        <v>1304151</v>
      </c>
      <c r="I33" s="35">
        <v>0</v>
      </c>
      <c r="O33" s="58"/>
    </row>
    <row r="34" spans="1:15">
      <c r="A34" s="3"/>
      <c r="D34" s="34">
        <v>2</v>
      </c>
      <c r="E34" s="89"/>
      <c r="F34" s="39"/>
      <c r="G34" s="91" t="s">
        <v>178</v>
      </c>
      <c r="H34" s="92">
        <v>55303</v>
      </c>
      <c r="I34" s="92"/>
      <c r="O34" s="58"/>
    </row>
    <row r="35" spans="1:15">
      <c r="A35" s="3"/>
      <c r="D35" s="34">
        <v>3</v>
      </c>
      <c r="E35" s="167" t="s">
        <v>45</v>
      </c>
      <c r="F35" s="38"/>
      <c r="G35" s="91"/>
      <c r="H35" s="38"/>
      <c r="I35" s="38"/>
      <c r="O35" s="58"/>
    </row>
    <row r="36" spans="1:15">
      <c r="A36" s="3"/>
      <c r="D36" s="34">
        <v>4</v>
      </c>
      <c r="E36" s="168"/>
      <c r="F36" s="38"/>
      <c r="G36" s="91"/>
      <c r="H36" s="38"/>
      <c r="I36" s="38"/>
      <c r="O36" s="58"/>
    </row>
    <row r="37" spans="1:15">
      <c r="A37" s="3"/>
      <c r="D37" s="34">
        <v>5</v>
      </c>
      <c r="E37" s="168"/>
      <c r="F37" s="38"/>
      <c r="G37" s="91"/>
      <c r="H37" s="38"/>
      <c r="I37" s="38"/>
      <c r="O37" s="58"/>
    </row>
    <row r="38" spans="1:15">
      <c r="A38" s="3"/>
      <c r="D38" s="34">
        <v>6</v>
      </c>
      <c r="E38" s="168"/>
      <c r="F38" s="38"/>
      <c r="G38" s="93"/>
      <c r="H38" s="38"/>
      <c r="I38" s="38"/>
      <c r="O38" s="58"/>
    </row>
    <row r="39" spans="1:15">
      <c r="A39" s="3"/>
      <c r="D39" s="34">
        <v>7</v>
      </c>
      <c r="E39" s="168"/>
      <c r="F39" s="38"/>
      <c r="G39" s="94"/>
      <c r="H39" s="38"/>
      <c r="I39" s="38"/>
      <c r="O39" s="58"/>
    </row>
    <row r="40" spans="1:15">
      <c r="A40" s="3"/>
      <c r="D40" s="34">
        <v>8</v>
      </c>
      <c r="E40" s="168"/>
      <c r="F40" s="38"/>
      <c r="G40" s="93"/>
      <c r="H40" s="38"/>
      <c r="I40" s="38"/>
      <c r="O40" s="58"/>
    </row>
    <row r="41" spans="1:15">
      <c r="A41" s="3"/>
      <c r="D41" s="34">
        <v>9</v>
      </c>
      <c r="E41" s="168"/>
      <c r="F41" s="38"/>
      <c r="G41" s="38"/>
      <c r="H41" s="38"/>
      <c r="I41" s="38"/>
      <c r="O41" s="58"/>
    </row>
    <row r="42" spans="1:15">
      <c r="A42" s="3"/>
      <c r="E42" s="168"/>
      <c r="F42" s="38"/>
      <c r="G42" s="38"/>
      <c r="H42" s="38"/>
      <c r="I42" s="38"/>
      <c r="O42" s="58"/>
    </row>
    <row r="43" spans="1:15" ht="16.2" thickBot="1">
      <c r="A43" s="3"/>
      <c r="E43" s="169"/>
      <c r="F43" s="38"/>
      <c r="G43" s="38"/>
      <c r="H43" s="38"/>
      <c r="I43" s="38"/>
      <c r="O43" s="58"/>
    </row>
    <row r="44" spans="1:15">
      <c r="A44" s="3"/>
      <c r="E44" s="40"/>
      <c r="F44" s="137" t="s">
        <v>44</v>
      </c>
      <c r="G44" s="138"/>
      <c r="H44" s="35">
        <f>H33+H34</f>
        <v>1359454</v>
      </c>
      <c r="I44" s="35"/>
      <c r="O44" s="58"/>
    </row>
    <row r="45" spans="1:15">
      <c r="A45" s="3"/>
      <c r="E45" s="40"/>
      <c r="F45" s="40"/>
      <c r="G45" s="40"/>
      <c r="H45" s="40"/>
      <c r="I45" s="40"/>
      <c r="O45" s="58"/>
    </row>
    <row r="46" spans="1:15">
      <c r="A46" s="3"/>
      <c r="E46" s="40"/>
      <c r="F46" s="40"/>
      <c r="G46" s="40"/>
      <c r="H46" s="40"/>
      <c r="I46" s="40"/>
      <c r="O46" s="58"/>
    </row>
    <row r="47" spans="1:15">
      <c r="A47" s="3"/>
      <c r="E47" s="40"/>
      <c r="F47" s="40"/>
      <c r="G47" s="40"/>
      <c r="H47" s="40"/>
      <c r="I47" s="40"/>
      <c r="O47" s="58"/>
    </row>
    <row r="48" spans="1:15">
      <c r="A48" s="3"/>
      <c r="E48" s="40"/>
      <c r="F48" s="40"/>
      <c r="G48" s="40"/>
      <c r="H48" s="40"/>
      <c r="I48" s="40"/>
      <c r="O48" s="58"/>
    </row>
    <row r="49" spans="1:15">
      <c r="A49" s="3"/>
      <c r="E49" s="40"/>
      <c r="F49" s="40"/>
      <c r="G49" s="40"/>
      <c r="H49" s="40"/>
      <c r="I49" s="40"/>
      <c r="O49" s="58"/>
    </row>
    <row r="50" spans="1:15">
      <c r="A50" s="3"/>
      <c r="E50" s="40"/>
      <c r="F50" s="40"/>
      <c r="G50" s="40"/>
      <c r="H50" s="40"/>
      <c r="I50" s="40"/>
      <c r="O50" s="58"/>
    </row>
    <row r="51" spans="1:15">
      <c r="A51" s="3"/>
      <c r="E51" t="s">
        <v>12</v>
      </c>
      <c r="O51" s="58"/>
    </row>
    <row r="52" spans="1:15">
      <c r="A52" s="3"/>
      <c r="E52" s="41" t="s">
        <v>13</v>
      </c>
      <c r="O52" s="58"/>
    </row>
    <row r="53" spans="1:15">
      <c r="A53" s="3"/>
      <c r="E53" s="42" t="s">
        <v>14</v>
      </c>
      <c r="O53" s="58"/>
    </row>
    <row r="54" spans="1:15">
      <c r="A54" s="3"/>
      <c r="O54" s="58"/>
    </row>
    <row r="55" spans="1:15">
      <c r="A55" s="3"/>
      <c r="O55" s="58"/>
    </row>
    <row r="56" spans="1:15">
      <c r="A56" s="3"/>
      <c r="D56" s="43" t="s">
        <v>46</v>
      </c>
      <c r="E56" s="44"/>
      <c r="F56" s="45"/>
      <c r="G56" s="46"/>
      <c r="H56" s="47"/>
      <c r="I56" s="62"/>
      <c r="J56" s="95"/>
      <c r="K56" s="64"/>
      <c r="O56" s="58"/>
    </row>
    <row r="57" spans="1:15">
      <c r="A57" s="3"/>
      <c r="D57" s="43"/>
      <c r="E57" s="44"/>
      <c r="F57" s="150" t="s">
        <v>47</v>
      </c>
      <c r="G57" s="151"/>
      <c r="H57" s="152"/>
      <c r="I57" s="62" t="s">
        <v>48</v>
      </c>
      <c r="J57" s="65">
        <v>485517</v>
      </c>
      <c r="K57" s="64"/>
      <c r="O57" s="58"/>
    </row>
    <row r="58" spans="1:15">
      <c r="A58" s="3"/>
      <c r="D58" s="43"/>
      <c r="E58" s="44"/>
      <c r="F58" s="153"/>
      <c r="G58" s="154"/>
      <c r="H58" s="155"/>
      <c r="I58" s="62" t="s">
        <v>49</v>
      </c>
      <c r="J58" s="66"/>
      <c r="K58" s="64"/>
      <c r="O58" s="58"/>
    </row>
    <row r="59" spans="1:15">
      <c r="A59" s="3"/>
      <c r="D59" s="43" t="s">
        <v>50</v>
      </c>
      <c r="E59" s="48" t="s">
        <v>51</v>
      </c>
      <c r="F59" s="43" t="s">
        <v>52</v>
      </c>
      <c r="G59" s="49" t="s">
        <v>53</v>
      </c>
      <c r="H59" s="49" t="s">
        <v>54</v>
      </c>
      <c r="I59" s="67" t="s">
        <v>55</v>
      </c>
      <c r="J59" s="68" t="s">
        <v>56</v>
      </c>
      <c r="K59" s="64"/>
      <c r="O59" s="58"/>
    </row>
    <row r="60" spans="1:15">
      <c r="A60" s="3"/>
      <c r="D60" s="96">
        <v>46112</v>
      </c>
      <c r="E60" s="48" t="s">
        <v>151</v>
      </c>
      <c r="F60" s="48" t="s">
        <v>152</v>
      </c>
      <c r="G60" s="52"/>
      <c r="H60" s="54">
        <v>8000</v>
      </c>
      <c r="I60" s="70">
        <f>J57-H60</f>
        <v>477517</v>
      </c>
      <c r="J60" s="69"/>
      <c r="K60" s="64" t="s">
        <v>81</v>
      </c>
      <c r="O60" s="58"/>
    </row>
    <row r="61" spans="1:15">
      <c r="A61" s="3"/>
      <c r="D61" s="96">
        <v>46112</v>
      </c>
      <c r="E61" s="51" t="s">
        <v>153</v>
      </c>
      <c r="F61" s="51" t="s">
        <v>154</v>
      </c>
      <c r="G61" s="52"/>
      <c r="H61" s="55">
        <v>13200</v>
      </c>
      <c r="I61" s="70">
        <f>I60-H61</f>
        <v>464317</v>
      </c>
      <c r="J61" s="69"/>
      <c r="K61" s="64" t="s">
        <v>81</v>
      </c>
      <c r="O61" s="58"/>
    </row>
    <row r="62" spans="1:15">
      <c r="A62" s="3"/>
      <c r="D62" s="96">
        <v>46112</v>
      </c>
      <c r="E62" s="51" t="s">
        <v>155</v>
      </c>
      <c r="F62" s="51" t="s">
        <v>156</v>
      </c>
      <c r="G62" s="52"/>
      <c r="H62" s="55">
        <v>7000</v>
      </c>
      <c r="I62" s="70">
        <f t="shared" ref="I62:I88" si="0">I61-H62</f>
        <v>457317</v>
      </c>
      <c r="J62" s="69"/>
      <c r="K62" s="64" t="s">
        <v>81</v>
      </c>
      <c r="O62" s="58"/>
    </row>
    <row r="63" spans="1:15">
      <c r="A63" s="3"/>
      <c r="D63" s="96">
        <v>46113</v>
      </c>
      <c r="E63" s="43" t="s">
        <v>157</v>
      </c>
      <c r="F63" s="51" t="s">
        <v>147</v>
      </c>
      <c r="G63" s="52"/>
      <c r="H63" s="55">
        <v>45000</v>
      </c>
      <c r="I63" s="70">
        <f t="shared" si="0"/>
        <v>412317</v>
      </c>
      <c r="J63" s="69"/>
      <c r="K63" s="64" t="s">
        <v>81</v>
      </c>
      <c r="O63" s="58"/>
    </row>
    <row r="64" spans="1:15">
      <c r="A64" s="3"/>
      <c r="D64" s="96">
        <v>46113</v>
      </c>
      <c r="E64" s="43" t="s">
        <v>60</v>
      </c>
      <c r="F64" s="51" t="s">
        <v>113</v>
      </c>
      <c r="G64" s="52"/>
      <c r="H64" s="55">
        <v>22500</v>
      </c>
      <c r="I64" s="70">
        <f t="shared" si="0"/>
        <v>389817</v>
      </c>
      <c r="J64" s="69"/>
      <c r="K64" s="64" t="s">
        <v>81</v>
      </c>
      <c r="O64" s="105"/>
    </row>
    <row r="65" spans="1:15">
      <c r="A65" s="3"/>
      <c r="D65" s="96">
        <v>46114</v>
      </c>
      <c r="E65" s="43" t="s">
        <v>123</v>
      </c>
      <c r="F65" s="51" t="s">
        <v>158</v>
      </c>
      <c r="G65" s="52"/>
      <c r="H65" s="55">
        <v>5480</v>
      </c>
      <c r="I65" s="70">
        <f t="shared" si="0"/>
        <v>384337</v>
      </c>
      <c r="J65" s="69"/>
      <c r="K65" s="64" t="s">
        <v>81</v>
      </c>
      <c r="O65" s="58"/>
    </row>
    <row r="66" spans="1:15">
      <c r="A66" s="3"/>
      <c r="D66" s="96">
        <v>46116</v>
      </c>
      <c r="E66" s="43" t="s">
        <v>159</v>
      </c>
      <c r="F66" s="51" t="s">
        <v>148</v>
      </c>
      <c r="G66" s="52"/>
      <c r="H66" s="55">
        <v>33000</v>
      </c>
      <c r="I66" s="70">
        <f t="shared" si="0"/>
        <v>351337</v>
      </c>
      <c r="J66" s="69"/>
      <c r="K66" s="64" t="s">
        <v>81</v>
      </c>
      <c r="O66" s="58"/>
    </row>
    <row r="67" spans="1:15">
      <c r="A67" s="3"/>
      <c r="D67" s="96">
        <v>46119</v>
      </c>
      <c r="E67" s="43" t="s">
        <v>79</v>
      </c>
      <c r="F67" s="51" t="s">
        <v>80</v>
      </c>
      <c r="G67" s="52"/>
      <c r="H67" s="55">
        <v>32500</v>
      </c>
      <c r="I67" s="70">
        <f t="shared" si="0"/>
        <v>318837</v>
      </c>
      <c r="J67" s="69"/>
      <c r="K67" s="64" t="s">
        <v>81</v>
      </c>
      <c r="O67" s="58"/>
    </row>
    <row r="68" spans="1:15">
      <c r="A68" s="3"/>
      <c r="D68" s="96">
        <v>46119</v>
      </c>
      <c r="E68" s="43" t="s">
        <v>160</v>
      </c>
      <c r="F68" s="51" t="s">
        <v>106</v>
      </c>
      <c r="G68" s="52"/>
      <c r="H68" s="55">
        <v>50000</v>
      </c>
      <c r="I68" s="70">
        <f t="shared" si="0"/>
        <v>268837</v>
      </c>
      <c r="J68" s="69"/>
      <c r="K68" s="64" t="s">
        <v>81</v>
      </c>
      <c r="O68" s="105"/>
    </row>
    <row r="69" spans="1:15">
      <c r="A69" s="3"/>
      <c r="D69" s="96">
        <v>46119</v>
      </c>
      <c r="E69" s="43" t="s">
        <v>159</v>
      </c>
      <c r="F69" s="51" t="s">
        <v>82</v>
      </c>
      <c r="G69" s="52"/>
      <c r="H69" s="55">
        <v>30900</v>
      </c>
      <c r="I69" s="70">
        <f t="shared" si="0"/>
        <v>237937</v>
      </c>
      <c r="J69" s="69"/>
      <c r="K69" s="102" t="s">
        <v>81</v>
      </c>
      <c r="O69" s="105"/>
    </row>
    <row r="70" spans="1:15">
      <c r="A70" s="3"/>
      <c r="D70" s="96">
        <v>46120</v>
      </c>
      <c r="E70" s="43" t="s">
        <v>161</v>
      </c>
      <c r="F70" s="51" t="s">
        <v>162</v>
      </c>
      <c r="G70" s="52"/>
      <c r="H70" s="55">
        <v>102000</v>
      </c>
      <c r="I70" s="70">
        <f t="shared" si="0"/>
        <v>135937</v>
      </c>
      <c r="J70" s="69"/>
      <c r="K70" s="64" t="s">
        <v>81</v>
      </c>
      <c r="O70" s="58"/>
    </row>
    <row r="71" spans="1:15">
      <c r="A71" s="3"/>
      <c r="D71" s="96">
        <v>46121</v>
      </c>
      <c r="E71" s="43" t="s">
        <v>69</v>
      </c>
      <c r="F71" s="51" t="s">
        <v>163</v>
      </c>
      <c r="G71" s="52"/>
      <c r="H71" s="55">
        <v>49400</v>
      </c>
      <c r="I71" s="70">
        <f t="shared" si="0"/>
        <v>86537</v>
      </c>
      <c r="J71" s="69"/>
      <c r="K71" s="64" t="s">
        <v>81</v>
      </c>
      <c r="O71" s="58"/>
    </row>
    <row r="72" spans="1:15">
      <c r="A72" s="3"/>
      <c r="D72" s="96">
        <v>46122</v>
      </c>
      <c r="E72" s="43" t="s">
        <v>164</v>
      </c>
      <c r="F72" s="51" t="s">
        <v>149</v>
      </c>
      <c r="G72" s="52"/>
      <c r="H72" s="55">
        <v>15700</v>
      </c>
      <c r="I72" s="70">
        <f t="shared" si="0"/>
        <v>70837</v>
      </c>
      <c r="J72" s="69"/>
      <c r="K72" s="98" t="s">
        <v>81</v>
      </c>
      <c r="O72" s="105"/>
    </row>
    <row r="73" spans="1:15">
      <c r="A73" s="3"/>
      <c r="D73" s="96">
        <v>46125</v>
      </c>
      <c r="E73" s="43" t="s">
        <v>165</v>
      </c>
      <c r="F73" s="51" t="s">
        <v>166</v>
      </c>
      <c r="G73" s="52"/>
      <c r="H73" s="55">
        <v>15000</v>
      </c>
      <c r="I73" s="70">
        <f t="shared" si="0"/>
        <v>55837</v>
      </c>
      <c r="J73" s="69"/>
      <c r="K73" s="64" t="s">
        <v>81</v>
      </c>
      <c r="O73" s="58"/>
    </row>
    <row r="74" spans="1:15">
      <c r="A74" s="3"/>
      <c r="D74" s="96">
        <v>46125</v>
      </c>
      <c r="E74" s="73" t="s">
        <v>123</v>
      </c>
      <c r="F74" s="73" t="s">
        <v>167</v>
      </c>
      <c r="G74" s="66"/>
      <c r="H74" s="52">
        <v>3990</v>
      </c>
      <c r="I74" s="70">
        <f t="shared" si="0"/>
        <v>51847</v>
      </c>
      <c r="J74" s="69"/>
      <c r="K74" s="64" t="s">
        <v>81</v>
      </c>
      <c r="O74" s="58"/>
    </row>
    <row r="75" spans="1:15" ht="19.8" customHeight="1" thickBot="1">
      <c r="A75" s="71"/>
      <c r="B75" s="72"/>
      <c r="C75" s="72"/>
      <c r="D75" s="96">
        <v>46126</v>
      </c>
      <c r="E75" s="74" t="s">
        <v>159</v>
      </c>
      <c r="F75" s="73" t="s">
        <v>168</v>
      </c>
      <c r="G75" s="75"/>
      <c r="H75" s="52">
        <v>20900</v>
      </c>
      <c r="I75" s="70">
        <f t="shared" si="0"/>
        <v>30947</v>
      </c>
      <c r="J75" s="69"/>
      <c r="K75" s="102" t="s">
        <v>81</v>
      </c>
      <c r="L75" s="72"/>
      <c r="M75" s="72"/>
      <c r="N75" s="72"/>
      <c r="O75" s="79"/>
    </row>
    <row r="76" spans="1:15">
      <c r="D76" s="96">
        <v>46126</v>
      </c>
      <c r="E76" s="74" t="s">
        <v>164</v>
      </c>
      <c r="F76" s="73" t="s">
        <v>150</v>
      </c>
      <c r="G76" s="75"/>
      <c r="H76" s="52">
        <v>8000</v>
      </c>
      <c r="I76" s="70">
        <f t="shared" si="0"/>
        <v>22947</v>
      </c>
      <c r="J76" s="69"/>
      <c r="K76" s="64" t="s">
        <v>81</v>
      </c>
    </row>
    <row r="77" spans="1:15">
      <c r="D77" s="96">
        <v>46128</v>
      </c>
      <c r="E77" s="74" t="s">
        <v>79</v>
      </c>
      <c r="F77" s="73" t="s">
        <v>80</v>
      </c>
      <c r="G77" s="75"/>
      <c r="H77" s="52">
        <v>30000</v>
      </c>
      <c r="I77" s="70">
        <f t="shared" si="0"/>
        <v>-7053</v>
      </c>
      <c r="J77" s="69"/>
      <c r="K77" s="64" t="s">
        <v>81</v>
      </c>
    </row>
    <row r="78" spans="1:15">
      <c r="D78" s="96">
        <v>46135</v>
      </c>
      <c r="E78" s="74" t="s">
        <v>169</v>
      </c>
      <c r="F78" s="73" t="s">
        <v>75</v>
      </c>
      <c r="G78" s="75"/>
      <c r="H78" s="52">
        <v>2000</v>
      </c>
      <c r="I78" s="70">
        <f t="shared" si="0"/>
        <v>-9053</v>
      </c>
      <c r="J78" s="69"/>
      <c r="K78" s="102" t="s">
        <v>81</v>
      </c>
      <c r="O78" s="104"/>
    </row>
    <row r="79" spans="1:15">
      <c r="D79" s="96">
        <v>46135</v>
      </c>
      <c r="E79" s="74" t="s">
        <v>169</v>
      </c>
      <c r="F79" s="73" t="s">
        <v>127</v>
      </c>
      <c r="G79" s="75"/>
      <c r="H79" s="52">
        <v>1850</v>
      </c>
      <c r="I79" s="70">
        <f t="shared" si="0"/>
        <v>-10903</v>
      </c>
      <c r="J79" s="69"/>
      <c r="K79" s="64" t="s">
        <v>81</v>
      </c>
      <c r="O79" s="104"/>
    </row>
    <row r="80" spans="1:15">
      <c r="D80" s="96">
        <v>46136</v>
      </c>
      <c r="E80" s="43" t="s">
        <v>170</v>
      </c>
      <c r="F80" s="51" t="s">
        <v>171</v>
      </c>
      <c r="G80" s="52"/>
      <c r="H80" s="52">
        <v>200</v>
      </c>
      <c r="I80" s="70">
        <f t="shared" si="0"/>
        <v>-11103</v>
      </c>
      <c r="J80" s="69"/>
      <c r="K80" s="98" t="s">
        <v>81</v>
      </c>
      <c r="O80" s="104"/>
    </row>
    <row r="81" spans="4:15">
      <c r="D81" s="96">
        <v>46136</v>
      </c>
      <c r="E81" s="43" t="s">
        <v>170</v>
      </c>
      <c r="F81" s="51" t="s">
        <v>172</v>
      </c>
      <c r="G81" s="52"/>
      <c r="H81" s="52">
        <v>2200</v>
      </c>
      <c r="I81" s="70">
        <f t="shared" si="0"/>
        <v>-13303</v>
      </c>
      <c r="J81" s="69"/>
      <c r="K81" s="98" t="s">
        <v>81</v>
      </c>
      <c r="O81" s="104"/>
    </row>
    <row r="82" spans="4:15">
      <c r="D82" s="96">
        <v>46136</v>
      </c>
      <c r="E82" s="43" t="s">
        <v>173</v>
      </c>
      <c r="F82" s="51"/>
      <c r="G82" s="52"/>
      <c r="H82" s="52">
        <v>2000</v>
      </c>
      <c r="I82" s="70">
        <f t="shared" si="0"/>
        <v>-15303</v>
      </c>
      <c r="J82" s="69"/>
      <c r="K82" s="64" t="s">
        <v>81</v>
      </c>
      <c r="O82" s="104"/>
    </row>
    <row r="83" spans="4:15">
      <c r="D83" s="96">
        <v>46137</v>
      </c>
      <c r="E83" s="43" t="s">
        <v>96</v>
      </c>
      <c r="F83" s="51" t="s">
        <v>174</v>
      </c>
      <c r="G83" s="52"/>
      <c r="H83" s="52">
        <v>10000</v>
      </c>
      <c r="I83" s="70">
        <f t="shared" si="0"/>
        <v>-25303</v>
      </c>
      <c r="J83" s="69"/>
      <c r="K83" s="64" t="s">
        <v>81</v>
      </c>
      <c r="O83" s="104"/>
    </row>
    <row r="84" spans="4:15">
      <c r="D84" s="96">
        <v>46137</v>
      </c>
      <c r="E84" s="97" t="s">
        <v>175</v>
      </c>
      <c r="F84" s="51" t="s">
        <v>176</v>
      </c>
      <c r="G84" s="52"/>
      <c r="H84" s="52">
        <v>30000</v>
      </c>
      <c r="I84" s="70">
        <f t="shared" si="0"/>
        <v>-55303</v>
      </c>
      <c r="J84" s="69"/>
      <c r="K84" s="64" t="s">
        <v>81</v>
      </c>
      <c r="O84" s="104"/>
    </row>
    <row r="85" spans="4:15">
      <c r="D85" s="96"/>
      <c r="E85" s="73" t="s">
        <v>179</v>
      </c>
      <c r="F85" s="73"/>
      <c r="G85" s="103"/>
      <c r="H85" s="52"/>
      <c r="I85" s="70">
        <f>(I84+G85)-H85</f>
        <v>-55303</v>
      </c>
      <c r="J85" s="69"/>
      <c r="K85" s="64"/>
    </row>
    <row r="86" spans="4:15">
      <c r="D86" s="96"/>
      <c r="E86" s="51"/>
      <c r="F86" s="51"/>
      <c r="G86" s="52"/>
      <c r="H86" s="52"/>
      <c r="I86" s="70">
        <f>I85-H86</f>
        <v>-55303</v>
      </c>
      <c r="J86" s="69"/>
      <c r="K86" s="102"/>
      <c r="O86" s="104"/>
    </row>
    <row r="87" spans="4:15">
      <c r="D87" s="96"/>
      <c r="E87" s="51"/>
      <c r="F87" s="51"/>
      <c r="G87" s="52"/>
      <c r="H87" s="52"/>
      <c r="I87" s="70">
        <f t="shared" si="0"/>
        <v>-55303</v>
      </c>
      <c r="J87" s="69"/>
      <c r="K87" s="64"/>
    </row>
    <row r="88" spans="4:15">
      <c r="D88" s="96"/>
      <c r="E88" s="51"/>
      <c r="F88" s="51"/>
      <c r="G88" s="52"/>
      <c r="H88" s="52"/>
      <c r="I88" s="110">
        <f t="shared" si="0"/>
        <v>-55303</v>
      </c>
      <c r="J88" s="51" t="s">
        <v>145</v>
      </c>
      <c r="K88" s="64"/>
    </row>
    <row r="89" spans="4:15">
      <c r="D89" s="96"/>
      <c r="E89" s="51"/>
      <c r="F89" s="51"/>
      <c r="G89" s="52"/>
      <c r="H89" s="52"/>
      <c r="I89" s="70"/>
      <c r="J89" s="69"/>
      <c r="K89" s="64"/>
    </row>
    <row r="90" spans="4:15">
      <c r="D90" s="96"/>
      <c r="E90" s="51"/>
      <c r="F90" s="51"/>
      <c r="G90" s="52"/>
      <c r="H90" s="52"/>
      <c r="I90" s="70"/>
      <c r="J90" s="69"/>
      <c r="K90" s="64"/>
    </row>
    <row r="91" spans="4:15">
      <c r="D91" s="50"/>
      <c r="E91" s="51"/>
      <c r="F91" s="78"/>
      <c r="G91" s="78"/>
      <c r="H91" s="77"/>
      <c r="I91" s="54"/>
      <c r="J91" s="78"/>
      <c r="K91" s="64"/>
    </row>
    <row r="92" spans="4:15">
      <c r="D92" s="50"/>
      <c r="E92" s="51"/>
      <c r="F92" s="51"/>
      <c r="G92" s="51"/>
      <c r="H92" s="52"/>
      <c r="I92" s="54"/>
      <c r="J92" s="66"/>
    </row>
    <row r="93" spans="4:15">
      <c r="D93" s="50"/>
      <c r="E93" s="51"/>
      <c r="F93" s="51"/>
      <c r="G93" s="51"/>
      <c r="H93" s="52"/>
      <c r="I93" s="54"/>
      <c r="J93" s="66"/>
    </row>
    <row r="99" spans="17:17">
      <c r="Q99" s="106"/>
    </row>
    <row r="100" spans="17:17">
      <c r="Q100" s="106"/>
    </row>
    <row r="101" spans="17:17">
      <c r="Q101" s="106"/>
    </row>
    <row r="102" spans="17:17">
      <c r="Q102" s="106"/>
    </row>
    <row r="103" spans="17:17">
      <c r="Q103" s="106"/>
    </row>
    <row r="104" spans="17:17">
      <c r="Q104" s="106"/>
    </row>
    <row r="105" spans="17:17">
      <c r="Q105" s="106"/>
    </row>
    <row r="106" spans="17:17">
      <c r="Q106" s="106"/>
    </row>
    <row r="107" spans="17:17">
      <c r="Q107" s="106"/>
    </row>
    <row r="108" spans="17:17">
      <c r="Q108" s="106"/>
    </row>
    <row r="109" spans="17:17">
      <c r="Q109" s="106"/>
    </row>
    <row r="110" spans="17:17">
      <c r="Q110" s="106"/>
    </row>
    <row r="111" spans="17:17">
      <c r="Q111" s="106"/>
    </row>
    <row r="112" spans="17:17">
      <c r="Q112" s="106"/>
    </row>
    <row r="113" spans="17:17">
      <c r="Q113" s="106"/>
    </row>
    <row r="114" spans="17:17">
      <c r="Q114" s="106"/>
    </row>
    <row r="115" spans="17:17">
      <c r="Q115" s="106"/>
    </row>
    <row r="116" spans="17:17">
      <c r="Q116" s="106"/>
    </row>
    <row r="117" spans="17:17">
      <c r="Q117" s="106"/>
    </row>
    <row r="118" spans="17:17">
      <c r="Q118" s="106"/>
    </row>
    <row r="119" spans="17:17">
      <c r="Q119" s="106"/>
    </row>
    <row r="120" spans="17:17">
      <c r="Q120" s="106"/>
    </row>
    <row r="121" spans="17:17">
      <c r="Q121" s="106"/>
    </row>
    <row r="122" spans="17:17">
      <c r="Q122" s="106"/>
    </row>
    <row r="123" spans="17:17">
      <c r="Q123" s="106"/>
    </row>
    <row r="124" spans="17:17">
      <c r="Q124" s="106"/>
    </row>
    <row r="125" spans="17:17">
      <c r="Q125" s="106"/>
    </row>
    <row r="126" spans="17:17">
      <c r="Q126" s="106"/>
    </row>
    <row r="127" spans="17:17">
      <c r="Q127" s="107"/>
    </row>
  </sheetData>
  <mergeCells count="8">
    <mergeCell ref="E2:O3"/>
    <mergeCell ref="E11:O11"/>
    <mergeCell ref="F33:G33"/>
    <mergeCell ref="F57:H58"/>
    <mergeCell ref="E13:E33"/>
    <mergeCell ref="F14:I14"/>
    <mergeCell ref="E35:E43"/>
    <mergeCell ref="F44:G44"/>
  </mergeCells>
  <pageMargins left="0.7" right="0.7" top="0.75" bottom="0.75" header="0.3" footer="0.3"/>
  <pageSetup scale="5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BB31-E1CB-410C-A922-0E561C7BA6C5}">
  <dimension ref="A1:Q116"/>
  <sheetViews>
    <sheetView tabSelected="1" zoomScale="62" zoomScaleNormal="82" zoomScalePageLayoutView="72" workbookViewId="0">
      <selection activeCell="E8" sqref="E8"/>
    </sheetView>
  </sheetViews>
  <sheetFormatPr defaultColWidth="9" defaultRowHeight="15.6"/>
  <cols>
    <col min="2" max="2" width="1" customWidth="1"/>
    <col min="3" max="3" width="1.453125" customWidth="1"/>
    <col min="4" max="4" width="11.453125" customWidth="1"/>
    <col min="5" max="5" width="48.453125" customWidth="1"/>
    <col min="6" max="6" width="58.81640625" customWidth="1"/>
    <col min="7" max="7" width="47.453125" customWidth="1"/>
    <col min="8" max="8" width="20" customWidth="1"/>
    <col min="9" max="9" width="30.90625" customWidth="1"/>
    <col min="10" max="10" width="33.1796875" customWidth="1"/>
    <col min="11" max="11" width="44.90625" customWidth="1"/>
    <col min="12" max="13" width="8.7265625" hidden="1" customWidth="1"/>
    <col min="14" max="14" width="10.6328125" customWidth="1"/>
    <col min="15" max="15" width="42.453125" customWidth="1"/>
    <col min="16" max="16" width="15.1796875" customWidth="1"/>
  </cols>
  <sheetData>
    <row r="1" spans="1: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56"/>
    </row>
    <row r="2" spans="1:15">
      <c r="A2" s="3"/>
      <c r="E2" s="139" t="s">
        <v>182</v>
      </c>
      <c r="F2" s="140"/>
      <c r="G2" s="140"/>
      <c r="H2" s="140"/>
      <c r="I2" s="140"/>
      <c r="J2" s="140"/>
      <c r="K2" s="140"/>
      <c r="L2" s="140"/>
      <c r="M2" s="140"/>
      <c r="N2" s="140"/>
      <c r="O2" s="141"/>
    </row>
    <row r="3" spans="1:15">
      <c r="A3" s="3"/>
      <c r="E3" s="142"/>
      <c r="F3" s="143"/>
      <c r="G3" s="143"/>
      <c r="H3" s="143"/>
      <c r="I3" s="143"/>
      <c r="J3" s="143"/>
      <c r="K3" s="143"/>
      <c r="L3" s="143"/>
      <c r="M3" s="143"/>
      <c r="N3" s="143"/>
      <c r="O3" s="144"/>
    </row>
    <row r="4" spans="1:15">
      <c r="A4" s="3"/>
      <c r="E4" s="4">
        <v>46170</v>
      </c>
      <c r="F4" s="5"/>
      <c r="G4" s="5"/>
      <c r="H4" s="5"/>
      <c r="I4" s="5"/>
      <c r="J4" s="5"/>
      <c r="K4" s="5"/>
      <c r="L4" s="5"/>
      <c r="M4" s="5"/>
      <c r="N4" s="5"/>
      <c r="O4" s="57"/>
    </row>
    <row r="5" spans="1:15">
      <c r="A5" s="3"/>
      <c r="E5" s="6" t="s">
        <v>18</v>
      </c>
      <c r="O5" s="58"/>
    </row>
    <row r="6" spans="1:15">
      <c r="A6" s="3"/>
      <c r="E6" s="6" t="s">
        <v>183</v>
      </c>
      <c r="O6" s="58"/>
    </row>
    <row r="7" spans="1:15">
      <c r="A7" s="3"/>
      <c r="E7" s="127" t="s">
        <v>184</v>
      </c>
      <c r="O7" s="58"/>
    </row>
    <row r="8" spans="1:15" ht="16.2" thickBot="1">
      <c r="A8" s="3"/>
      <c r="E8" s="127" t="s">
        <v>250</v>
      </c>
      <c r="O8" s="58"/>
    </row>
    <row r="9" spans="1:15" ht="16.2" thickBot="1">
      <c r="A9" s="3"/>
      <c r="E9" s="109"/>
      <c r="O9" s="58"/>
    </row>
    <row r="10" spans="1:15">
      <c r="A10" s="3"/>
      <c r="O10" s="58"/>
    </row>
    <row r="11" spans="1:15">
      <c r="A11" s="3"/>
      <c r="E11" s="145" t="s">
        <v>6</v>
      </c>
      <c r="F11" s="146"/>
      <c r="G11" s="146"/>
      <c r="H11" s="146"/>
      <c r="I11" s="146"/>
      <c r="J11" s="146"/>
      <c r="K11" s="146"/>
      <c r="L11" s="146"/>
      <c r="M11" s="146"/>
      <c r="N11" s="146"/>
      <c r="O11" s="147"/>
    </row>
    <row r="12" spans="1:15" ht="16.2" thickBot="1">
      <c r="A12" s="3"/>
      <c r="D12" s="8"/>
      <c r="E12" s="9"/>
      <c r="F12" s="10"/>
      <c r="G12" s="10"/>
      <c r="O12" s="58"/>
    </row>
    <row r="13" spans="1:15" ht="16.2" thickBot="1">
      <c r="A13" s="3"/>
      <c r="D13" s="8"/>
      <c r="E13" s="120" t="s">
        <v>22</v>
      </c>
      <c r="F13" s="12" t="s">
        <v>7</v>
      </c>
      <c r="G13" s="13" t="s">
        <v>23</v>
      </c>
      <c r="H13" s="13" t="s">
        <v>24</v>
      </c>
      <c r="I13" s="13" t="s">
        <v>25</v>
      </c>
      <c r="O13" s="58"/>
    </row>
    <row r="14" spans="1:15" ht="16.2" thickBot="1">
      <c r="A14" s="3"/>
      <c r="D14" s="8"/>
      <c r="E14" s="121"/>
      <c r="F14" s="122" t="s">
        <v>26</v>
      </c>
      <c r="G14" s="123"/>
      <c r="H14" s="123"/>
      <c r="I14" s="124"/>
      <c r="O14" s="58"/>
    </row>
    <row r="15" spans="1:15">
      <c r="A15" s="3"/>
      <c r="D15" s="8"/>
      <c r="E15" s="121"/>
      <c r="F15" s="14"/>
      <c r="G15" s="15"/>
      <c r="H15" s="16"/>
      <c r="I15" s="59"/>
      <c r="O15" s="58"/>
    </row>
    <row r="16" spans="1:15">
      <c r="A16" s="3"/>
      <c r="D16" s="8"/>
      <c r="E16" s="121"/>
      <c r="F16" s="17">
        <v>2</v>
      </c>
      <c r="G16" s="18" t="s">
        <v>28</v>
      </c>
      <c r="H16" s="19">
        <v>50000</v>
      </c>
      <c r="I16" s="19"/>
      <c r="O16" s="58"/>
    </row>
    <row r="17" spans="1:15">
      <c r="A17" s="3"/>
      <c r="D17" s="8"/>
      <c r="E17" s="121"/>
      <c r="F17" s="17">
        <v>3</v>
      </c>
      <c r="G17" s="18" t="s">
        <v>29</v>
      </c>
      <c r="H17" s="20">
        <v>3000</v>
      </c>
      <c r="I17" s="20"/>
      <c r="O17" s="58"/>
    </row>
    <row r="18" spans="1:15">
      <c r="A18" s="3"/>
      <c r="D18" s="8"/>
      <c r="E18" s="121"/>
      <c r="F18" s="17">
        <v>4</v>
      </c>
      <c r="G18" s="15" t="s">
        <v>30</v>
      </c>
      <c r="H18" s="21">
        <v>150000</v>
      </c>
      <c r="I18" s="23"/>
      <c r="O18" s="58"/>
    </row>
    <row r="19" spans="1:15">
      <c r="A19" s="3"/>
      <c r="D19" s="8"/>
      <c r="E19" s="121"/>
      <c r="F19" s="17">
        <v>5</v>
      </c>
      <c r="G19" s="23" t="s">
        <v>31</v>
      </c>
      <c r="H19" s="90">
        <v>20000</v>
      </c>
      <c r="I19" s="38"/>
      <c r="O19" s="58"/>
    </row>
    <row r="20" spans="1:15">
      <c r="A20" s="3"/>
      <c r="D20" s="8"/>
      <c r="E20" s="121"/>
      <c r="F20" s="17">
        <v>6</v>
      </c>
      <c r="G20" s="22" t="s">
        <v>32</v>
      </c>
      <c r="H20" s="23">
        <v>30000</v>
      </c>
      <c r="I20" s="23"/>
      <c r="O20" s="58"/>
    </row>
    <row r="21" spans="1:15">
      <c r="A21" s="3"/>
      <c r="D21" s="8"/>
      <c r="E21" s="121"/>
      <c r="F21" s="17">
        <v>7</v>
      </c>
      <c r="G21" s="15" t="s">
        <v>33</v>
      </c>
      <c r="H21" s="21">
        <v>30851</v>
      </c>
      <c r="I21" s="21"/>
      <c r="O21" s="58"/>
    </row>
    <row r="22" spans="1:15">
      <c r="A22" s="3"/>
      <c r="D22" s="8"/>
      <c r="E22" s="121"/>
      <c r="F22" s="17">
        <v>8</v>
      </c>
      <c r="G22" s="15" t="s">
        <v>34</v>
      </c>
      <c r="H22" s="21">
        <v>25000</v>
      </c>
      <c r="I22" s="21"/>
      <c r="O22" s="58"/>
    </row>
    <row r="23" spans="1:15">
      <c r="A23" s="3"/>
      <c r="D23" s="8"/>
      <c r="E23" s="121"/>
      <c r="F23" s="17"/>
      <c r="G23" s="15" t="s">
        <v>177</v>
      </c>
      <c r="H23" s="21">
        <v>20900</v>
      </c>
      <c r="I23" s="21"/>
      <c r="O23" s="58"/>
    </row>
    <row r="24" spans="1:15">
      <c r="A24" s="3"/>
      <c r="D24" s="8"/>
      <c r="E24" s="121"/>
      <c r="F24" s="17">
        <v>9</v>
      </c>
      <c r="G24" s="15" t="s">
        <v>35</v>
      </c>
      <c r="H24" s="21"/>
      <c r="I24" s="21"/>
      <c r="O24" s="58"/>
    </row>
    <row r="25" spans="1:15">
      <c r="A25" s="3"/>
      <c r="D25" s="8"/>
      <c r="E25" s="121"/>
      <c r="F25" s="17">
        <v>10</v>
      </c>
      <c r="G25" s="15" t="s">
        <v>36</v>
      </c>
      <c r="H25" s="24">
        <v>10000</v>
      </c>
      <c r="I25" s="21"/>
      <c r="O25" s="58"/>
    </row>
    <row r="26" spans="1:15">
      <c r="A26" s="3"/>
      <c r="D26" s="8"/>
      <c r="E26" s="121"/>
      <c r="F26" s="17">
        <v>11</v>
      </c>
      <c r="G26" s="15" t="s">
        <v>37</v>
      </c>
      <c r="H26" s="24">
        <v>35900</v>
      </c>
      <c r="I26" s="24"/>
      <c r="O26" s="58"/>
    </row>
    <row r="27" spans="1:15" ht="16.2" thickBot="1">
      <c r="A27" s="3"/>
      <c r="D27" s="8"/>
      <c r="E27" s="121"/>
      <c r="F27" s="17">
        <v>12</v>
      </c>
      <c r="G27" s="25" t="s">
        <v>38</v>
      </c>
      <c r="H27" s="26">
        <v>5000</v>
      </c>
      <c r="I27" s="61"/>
      <c r="O27" s="58"/>
    </row>
    <row r="28" spans="1:15" ht="16.2" thickBot="1">
      <c r="A28" s="3"/>
      <c r="D28" s="8"/>
      <c r="E28" s="121"/>
      <c r="F28" s="99" t="s">
        <v>39</v>
      </c>
      <c r="G28" s="100"/>
      <c r="H28" s="100"/>
      <c r="I28" s="101"/>
      <c r="O28" s="58"/>
    </row>
    <row r="29" spans="1:15">
      <c r="A29" s="3"/>
      <c r="D29" s="8"/>
      <c r="E29" s="121"/>
      <c r="F29" s="27"/>
      <c r="G29" s="28"/>
      <c r="H29" s="29"/>
      <c r="I29" s="23"/>
      <c r="O29" s="58"/>
    </row>
    <row r="30" spans="1:15">
      <c r="A30" s="3"/>
      <c r="D30" s="8"/>
      <c r="E30" s="121"/>
      <c r="F30" s="17">
        <v>12</v>
      </c>
      <c r="G30" s="30" t="s">
        <v>41</v>
      </c>
      <c r="H30" s="21">
        <v>50000</v>
      </c>
      <c r="I30" s="21"/>
      <c r="O30" s="58"/>
    </row>
    <row r="31" spans="1:15">
      <c r="A31" s="3"/>
      <c r="D31" s="8"/>
      <c r="E31" s="121"/>
      <c r="F31" s="27">
        <v>13</v>
      </c>
      <c r="G31" s="30" t="s">
        <v>42</v>
      </c>
      <c r="H31" s="24">
        <v>19900</v>
      </c>
      <c r="I31" s="21"/>
      <c r="O31" s="58"/>
    </row>
    <row r="32" spans="1:15" ht="16.2" thickBot="1">
      <c r="A32" s="3"/>
      <c r="D32" s="31" t="s">
        <v>7</v>
      </c>
      <c r="E32" s="121"/>
      <c r="F32" s="17">
        <v>14</v>
      </c>
      <c r="G32" s="32" t="s">
        <v>43</v>
      </c>
      <c r="H32" s="33">
        <v>2000</v>
      </c>
      <c r="I32" s="21"/>
      <c r="O32" s="58"/>
    </row>
    <row r="33" spans="1:15">
      <c r="A33" s="3"/>
      <c r="D33" s="34">
        <v>1</v>
      </c>
      <c r="E33" s="121"/>
      <c r="F33" s="112" t="s">
        <v>44</v>
      </c>
      <c r="G33" s="113"/>
      <c r="H33" s="35">
        <f>SUM(H16:H32)</f>
        <v>452551</v>
      </c>
      <c r="I33" s="35">
        <v>0</v>
      </c>
      <c r="O33" s="58"/>
    </row>
    <row r="34" spans="1:15">
      <c r="A34" s="3"/>
      <c r="D34" s="34">
        <v>2</v>
      </c>
      <c r="E34" s="89" t="s">
        <v>45</v>
      </c>
      <c r="F34" s="39"/>
      <c r="G34" s="91" t="s">
        <v>247</v>
      </c>
      <c r="H34" s="92">
        <v>117000</v>
      </c>
      <c r="I34" s="92"/>
      <c r="O34" s="58"/>
    </row>
    <row r="35" spans="1:15">
      <c r="A35" s="3"/>
      <c r="D35" s="34">
        <v>3</v>
      </c>
      <c r="E35" s="125"/>
      <c r="F35" s="38"/>
      <c r="G35" s="91" t="s">
        <v>248</v>
      </c>
      <c r="H35" s="38">
        <v>305000</v>
      </c>
      <c r="I35" s="38"/>
      <c r="O35" s="58"/>
    </row>
    <row r="36" spans="1:15">
      <c r="A36" s="3"/>
      <c r="D36" s="34">
        <v>4</v>
      </c>
      <c r="E36" s="125"/>
      <c r="F36" s="38"/>
      <c r="G36" s="91" t="s">
        <v>249</v>
      </c>
      <c r="H36" s="38">
        <v>63022</v>
      </c>
      <c r="I36" s="38"/>
      <c r="O36" s="58"/>
    </row>
    <row r="37" spans="1:15">
      <c r="A37" s="3"/>
      <c r="D37" s="34">
        <v>5</v>
      </c>
      <c r="E37" s="125"/>
      <c r="F37" s="38"/>
      <c r="G37" s="91"/>
      <c r="H37" s="38"/>
      <c r="I37" s="38"/>
      <c r="O37" s="58"/>
    </row>
    <row r="38" spans="1:15">
      <c r="A38" s="3"/>
      <c r="D38" s="34">
        <v>6</v>
      </c>
      <c r="E38" s="125"/>
      <c r="F38" s="38"/>
      <c r="G38" s="93"/>
      <c r="H38" s="38"/>
      <c r="I38" s="38"/>
      <c r="O38" s="58"/>
    </row>
    <row r="39" spans="1:15">
      <c r="A39" s="3"/>
      <c r="D39" s="34">
        <v>7</v>
      </c>
      <c r="E39" s="125"/>
      <c r="F39" s="38"/>
      <c r="G39" s="94"/>
      <c r="H39" s="38"/>
      <c r="I39" s="38"/>
      <c r="O39" s="58"/>
    </row>
    <row r="40" spans="1:15">
      <c r="A40" s="3"/>
      <c r="D40" s="34">
        <v>8</v>
      </c>
      <c r="E40" s="125"/>
      <c r="F40" s="38"/>
      <c r="G40" s="93"/>
      <c r="H40" s="38"/>
      <c r="I40" s="38"/>
      <c r="O40" s="58"/>
    </row>
    <row r="41" spans="1:15">
      <c r="A41" s="3"/>
      <c r="D41" s="34">
        <v>9</v>
      </c>
      <c r="E41" s="125"/>
      <c r="F41" s="38"/>
      <c r="G41" s="38"/>
      <c r="H41" s="38"/>
      <c r="I41" s="38"/>
      <c r="O41" s="58"/>
    </row>
    <row r="42" spans="1:15">
      <c r="A42" s="3"/>
      <c r="E42" s="125"/>
      <c r="F42" s="38"/>
      <c r="G42" s="38"/>
      <c r="H42" s="38"/>
      <c r="I42" s="38"/>
      <c r="O42" s="58"/>
    </row>
    <row r="43" spans="1:15" ht="16.2" thickBot="1">
      <c r="A43" s="3"/>
      <c r="E43" s="126"/>
      <c r="F43" s="134" t="s">
        <v>44</v>
      </c>
      <c r="G43" s="135"/>
      <c r="H43" s="136">
        <f>SUM(H34:H36)</f>
        <v>485022</v>
      </c>
      <c r="I43" s="38">
        <v>0</v>
      </c>
      <c r="O43" s="58"/>
    </row>
    <row r="44" spans="1:15">
      <c r="A44" s="3"/>
      <c r="E44" s="40"/>
      <c r="F44" s="137" t="s">
        <v>44</v>
      </c>
      <c r="G44" s="138"/>
      <c r="H44" s="35">
        <f>H33+H43</f>
        <v>937573</v>
      </c>
      <c r="I44" s="35"/>
      <c r="O44" s="58"/>
    </row>
    <row r="45" spans="1:15">
      <c r="A45" s="3"/>
      <c r="E45" s="40"/>
      <c r="F45" s="40"/>
      <c r="G45" s="40"/>
      <c r="H45" s="40"/>
      <c r="I45" s="40"/>
      <c r="O45" s="58"/>
    </row>
    <row r="46" spans="1:15">
      <c r="A46" s="3"/>
      <c r="E46" s="40"/>
      <c r="F46" s="40"/>
      <c r="G46" s="40"/>
      <c r="H46" s="40"/>
      <c r="I46" s="40"/>
      <c r="O46" s="58"/>
    </row>
    <row r="47" spans="1:15">
      <c r="A47" s="3"/>
      <c r="E47" s="40"/>
      <c r="F47" s="40"/>
      <c r="G47" s="40"/>
      <c r="H47" s="40"/>
      <c r="I47" s="40"/>
      <c r="O47" s="58"/>
    </row>
    <row r="48" spans="1:15">
      <c r="A48" s="3"/>
      <c r="E48" s="40"/>
      <c r="F48" s="40"/>
      <c r="G48" s="40"/>
      <c r="H48" s="40"/>
      <c r="I48" s="40"/>
      <c r="O48" s="58"/>
    </row>
    <row r="49" spans="1:15">
      <c r="A49" s="3"/>
      <c r="E49" s="40"/>
      <c r="F49" s="40"/>
      <c r="G49" s="40"/>
      <c r="H49" s="40"/>
      <c r="I49" s="40"/>
      <c r="O49" s="58"/>
    </row>
    <row r="50" spans="1:15">
      <c r="A50" s="3"/>
      <c r="E50" s="40"/>
      <c r="F50" s="40"/>
      <c r="G50" s="40"/>
      <c r="H50" s="40"/>
      <c r="I50" s="40"/>
      <c r="O50" s="58"/>
    </row>
    <row r="51" spans="1:15">
      <c r="A51" s="3"/>
      <c r="E51" t="s">
        <v>12</v>
      </c>
      <c r="O51" s="58"/>
    </row>
    <row r="52" spans="1:15">
      <c r="A52" s="3"/>
      <c r="E52" s="41" t="s">
        <v>13</v>
      </c>
      <c r="O52" s="58"/>
    </row>
    <row r="53" spans="1:15">
      <c r="A53" s="3"/>
      <c r="E53" s="42" t="s">
        <v>14</v>
      </c>
      <c r="O53" s="58"/>
    </row>
    <row r="54" spans="1:15">
      <c r="A54" s="3"/>
      <c r="O54" s="58"/>
    </row>
    <row r="55" spans="1:15">
      <c r="A55" s="3"/>
      <c r="O55" s="58"/>
    </row>
    <row r="56" spans="1:15">
      <c r="A56" s="3"/>
      <c r="D56" s="43" t="s">
        <v>46</v>
      </c>
      <c r="E56" s="44"/>
      <c r="F56" s="45"/>
      <c r="G56" s="46"/>
      <c r="H56" s="47"/>
      <c r="I56" s="62"/>
      <c r="J56" s="95"/>
      <c r="K56" s="64"/>
      <c r="O56" s="58"/>
    </row>
    <row r="57" spans="1:15">
      <c r="A57" s="3"/>
      <c r="D57" s="43"/>
      <c r="E57" s="44"/>
      <c r="F57" s="114" t="s">
        <v>47</v>
      </c>
      <c r="G57" s="115"/>
      <c r="H57" s="116"/>
      <c r="I57" s="62" t="s">
        <v>48</v>
      </c>
      <c r="J57" s="65">
        <v>393627</v>
      </c>
      <c r="K57" s="64"/>
      <c r="O57" s="58"/>
    </row>
    <row r="58" spans="1:15">
      <c r="A58" s="3"/>
      <c r="D58" s="43"/>
      <c r="E58" s="44"/>
      <c r="F58" s="117"/>
      <c r="G58" s="118"/>
      <c r="H58" s="119"/>
      <c r="I58" s="62" t="s">
        <v>49</v>
      </c>
      <c r="J58" s="66"/>
      <c r="K58" s="64"/>
      <c r="O58" s="58"/>
    </row>
    <row r="59" spans="1:15">
      <c r="A59" s="3"/>
      <c r="D59" s="43" t="s">
        <v>50</v>
      </c>
      <c r="E59" s="48" t="s">
        <v>51</v>
      </c>
      <c r="F59" s="43" t="s">
        <v>52</v>
      </c>
      <c r="G59" s="49" t="s">
        <v>53</v>
      </c>
      <c r="H59" s="49" t="s">
        <v>54</v>
      </c>
      <c r="I59" s="67" t="s">
        <v>55</v>
      </c>
      <c r="J59" s="68" t="s">
        <v>56</v>
      </c>
      <c r="K59" s="64"/>
      <c r="O59" s="58"/>
    </row>
    <row r="60" spans="1:15">
      <c r="A60" s="3"/>
      <c r="D60" s="96">
        <v>46139</v>
      </c>
      <c r="E60" s="48" t="s">
        <v>185</v>
      </c>
      <c r="F60" s="48" t="s">
        <v>80</v>
      </c>
      <c r="G60" s="52"/>
      <c r="H60" s="54">
        <v>35000</v>
      </c>
      <c r="I60" s="70">
        <v>358627</v>
      </c>
      <c r="J60" s="69" t="s">
        <v>81</v>
      </c>
      <c r="K60" s="64"/>
      <c r="O60" s="58"/>
    </row>
    <row r="61" spans="1:15">
      <c r="A61" s="3"/>
      <c r="D61" s="96">
        <v>46146</v>
      </c>
      <c r="E61" s="51" t="s">
        <v>138</v>
      </c>
      <c r="F61" s="51" t="s">
        <v>82</v>
      </c>
      <c r="G61" s="52"/>
      <c r="H61" s="55">
        <v>30900</v>
      </c>
      <c r="I61" s="70">
        <v>327727</v>
      </c>
      <c r="J61" s="69" t="s">
        <v>81</v>
      </c>
      <c r="K61" s="64"/>
      <c r="O61" s="58"/>
    </row>
    <row r="62" spans="1:15">
      <c r="A62" s="3"/>
      <c r="D62" s="96">
        <v>46146</v>
      </c>
      <c r="E62" s="51" t="s">
        <v>60</v>
      </c>
      <c r="F62" s="51" t="s">
        <v>186</v>
      </c>
      <c r="G62" s="52"/>
      <c r="H62" s="55">
        <v>22500</v>
      </c>
      <c r="I62" s="70">
        <v>305227</v>
      </c>
      <c r="J62" s="69" t="s">
        <v>81</v>
      </c>
      <c r="K62" s="64"/>
      <c r="O62" s="58"/>
    </row>
    <row r="63" spans="1:15">
      <c r="A63" s="3"/>
      <c r="D63" s="96">
        <v>46147</v>
      </c>
      <c r="E63" s="43" t="s">
        <v>72</v>
      </c>
      <c r="F63" s="51" t="s">
        <v>73</v>
      </c>
      <c r="G63" s="52"/>
      <c r="H63" s="55">
        <v>3000</v>
      </c>
      <c r="I63" s="70">
        <v>302227</v>
      </c>
      <c r="J63" s="69" t="s">
        <v>81</v>
      </c>
      <c r="K63" s="64"/>
      <c r="O63" s="58"/>
    </row>
    <row r="64" spans="1:15">
      <c r="A64" s="3"/>
      <c r="D64" s="96">
        <v>46149</v>
      </c>
      <c r="E64" s="43" t="s">
        <v>185</v>
      </c>
      <c r="F64" s="51" t="s">
        <v>80</v>
      </c>
      <c r="G64" s="52"/>
      <c r="H64" s="55">
        <v>40000</v>
      </c>
      <c r="I64" s="70">
        <v>262227</v>
      </c>
      <c r="J64" s="69" t="s">
        <v>81</v>
      </c>
      <c r="K64" s="64"/>
      <c r="O64" s="105"/>
    </row>
    <row r="65" spans="1:15">
      <c r="A65" s="3"/>
      <c r="D65" s="96">
        <v>46149</v>
      </c>
      <c r="E65" s="43" t="s">
        <v>187</v>
      </c>
      <c r="F65" s="51" t="s">
        <v>75</v>
      </c>
      <c r="G65" s="52"/>
      <c r="H65" s="55">
        <v>1909</v>
      </c>
      <c r="I65" s="70">
        <v>260318</v>
      </c>
      <c r="J65" s="69" t="s">
        <v>81</v>
      </c>
      <c r="K65" s="64"/>
      <c r="O65" s="58"/>
    </row>
    <row r="66" spans="1:15">
      <c r="A66" s="3"/>
      <c r="D66" s="96">
        <v>46149</v>
      </c>
      <c r="E66" s="43" t="s">
        <v>188</v>
      </c>
      <c r="F66" s="51" t="s">
        <v>75</v>
      </c>
      <c r="G66" s="52"/>
      <c r="H66" s="55">
        <v>2025</v>
      </c>
      <c r="I66" s="70">
        <v>258293</v>
      </c>
      <c r="J66" s="69" t="s">
        <v>81</v>
      </c>
      <c r="K66" s="64"/>
      <c r="O66" s="58"/>
    </row>
    <row r="67" spans="1:15">
      <c r="A67" s="3"/>
      <c r="D67" s="96">
        <v>46157</v>
      </c>
      <c r="E67" s="43" t="s">
        <v>188</v>
      </c>
      <c r="F67" s="51" t="s">
        <v>75</v>
      </c>
      <c r="G67" s="52"/>
      <c r="H67" s="55">
        <v>3915</v>
      </c>
      <c r="I67" s="70">
        <v>254378</v>
      </c>
      <c r="J67" s="69" t="s">
        <v>81</v>
      </c>
      <c r="K67" s="64"/>
      <c r="O67" s="58"/>
    </row>
    <row r="68" spans="1:15">
      <c r="A68" s="3"/>
      <c r="D68" s="96">
        <v>46160</v>
      </c>
      <c r="E68" s="43" t="s">
        <v>189</v>
      </c>
      <c r="F68" s="51" t="s">
        <v>80</v>
      </c>
      <c r="G68" s="52"/>
      <c r="H68" s="55">
        <v>43300</v>
      </c>
      <c r="I68" s="70">
        <v>211078</v>
      </c>
      <c r="J68" s="69" t="s">
        <v>81</v>
      </c>
      <c r="K68" s="64"/>
      <c r="O68" s="105"/>
    </row>
    <row r="69" spans="1:15">
      <c r="A69" s="3"/>
      <c r="D69" s="96">
        <v>46161</v>
      </c>
      <c r="E69" s="43" t="s">
        <v>138</v>
      </c>
      <c r="F69" s="51" t="s">
        <v>70</v>
      </c>
      <c r="G69" s="52"/>
      <c r="H69" s="55">
        <v>48200</v>
      </c>
      <c r="I69" s="70">
        <v>162878</v>
      </c>
      <c r="J69" s="69" t="s">
        <v>81</v>
      </c>
      <c r="K69" s="102"/>
      <c r="O69" s="105"/>
    </row>
    <row r="70" spans="1:15">
      <c r="A70" s="3"/>
      <c r="D70" s="96">
        <v>46162</v>
      </c>
      <c r="E70" s="43" t="s">
        <v>160</v>
      </c>
      <c r="F70" s="51" t="s">
        <v>190</v>
      </c>
      <c r="G70" s="52"/>
      <c r="H70" s="55">
        <v>30000</v>
      </c>
      <c r="I70" s="70">
        <v>132878</v>
      </c>
      <c r="J70" s="69" t="s">
        <v>81</v>
      </c>
      <c r="K70" s="64"/>
      <c r="O70" s="58"/>
    </row>
    <row r="71" spans="1:15">
      <c r="A71" s="3"/>
      <c r="D71" s="96">
        <v>46164</v>
      </c>
      <c r="E71" s="43" t="s">
        <v>188</v>
      </c>
      <c r="F71" s="51" t="s">
        <v>191</v>
      </c>
      <c r="G71" s="52"/>
      <c r="H71" s="55">
        <v>100000</v>
      </c>
      <c r="I71" s="70">
        <v>32878</v>
      </c>
      <c r="J71" s="69" t="s">
        <v>81</v>
      </c>
      <c r="K71" s="64"/>
      <c r="O71" s="58"/>
    </row>
    <row r="72" spans="1:15">
      <c r="A72" s="3"/>
      <c r="D72" s="96">
        <v>46168</v>
      </c>
      <c r="E72" s="43" t="s">
        <v>138</v>
      </c>
      <c r="F72" s="51" t="s">
        <v>192</v>
      </c>
      <c r="G72" s="52"/>
      <c r="H72" s="55">
        <v>20900</v>
      </c>
      <c r="I72" s="70">
        <v>11978</v>
      </c>
      <c r="J72" s="69" t="s">
        <v>81</v>
      </c>
      <c r="K72" s="98"/>
      <c r="O72" s="105"/>
    </row>
    <row r="73" spans="1:15">
      <c r="A73" s="3"/>
      <c r="D73" s="96">
        <v>46168</v>
      </c>
      <c r="E73" s="43" t="s">
        <v>129</v>
      </c>
      <c r="F73" s="51" t="s">
        <v>130</v>
      </c>
      <c r="G73" s="52"/>
      <c r="H73" s="55">
        <v>30000</v>
      </c>
      <c r="I73" s="70">
        <v>-18022</v>
      </c>
      <c r="J73" s="69" t="s">
        <v>81</v>
      </c>
      <c r="K73" s="64"/>
      <c r="O73" s="58"/>
    </row>
    <row r="74" spans="1:15">
      <c r="A74" s="3"/>
      <c r="D74" s="96">
        <v>46168</v>
      </c>
      <c r="E74" s="73" t="s">
        <v>96</v>
      </c>
      <c r="F74" s="73" t="s">
        <v>128</v>
      </c>
      <c r="G74" s="66"/>
      <c r="H74" s="52">
        <v>10000</v>
      </c>
      <c r="I74" s="70">
        <v>-28022</v>
      </c>
      <c r="J74" s="69" t="s">
        <v>81</v>
      </c>
      <c r="K74" s="64"/>
      <c r="O74" s="58"/>
    </row>
    <row r="75" spans="1:15" ht="19.8" customHeight="1" thickBot="1">
      <c r="A75" s="71"/>
      <c r="B75" s="72"/>
      <c r="C75" s="72"/>
      <c r="D75" s="96">
        <v>46168</v>
      </c>
      <c r="E75" s="74" t="s">
        <v>189</v>
      </c>
      <c r="F75" s="73" t="s">
        <v>80</v>
      </c>
      <c r="G75" s="75"/>
      <c r="H75" s="52">
        <v>35000</v>
      </c>
      <c r="I75" s="70">
        <v>-63022</v>
      </c>
      <c r="J75" s="69" t="s">
        <v>81</v>
      </c>
      <c r="K75" s="102"/>
      <c r="L75" s="72"/>
      <c r="M75" s="72"/>
      <c r="N75" s="72"/>
      <c r="O75" s="79"/>
    </row>
    <row r="76" spans="1:15">
      <c r="D76" s="96"/>
      <c r="E76" s="51"/>
      <c r="F76" s="51"/>
      <c r="G76" s="52"/>
      <c r="H76" s="52"/>
      <c r="I76" s="70">
        <v>-63022</v>
      </c>
      <c r="J76" s="69"/>
      <c r="K76" s="64"/>
    </row>
    <row r="77" spans="1:15">
      <c r="D77" s="96"/>
      <c r="E77" s="51"/>
      <c r="F77" s="51"/>
      <c r="G77" s="52"/>
      <c r="H77" s="52"/>
      <c r="I77" s="80">
        <v>-63022</v>
      </c>
      <c r="J77" s="51" t="s">
        <v>193</v>
      </c>
      <c r="K77" s="64"/>
    </row>
    <row r="78" spans="1:15">
      <c r="D78" s="96"/>
      <c r="E78" s="51"/>
      <c r="F78" s="51"/>
      <c r="G78" s="52"/>
      <c r="H78" s="52"/>
      <c r="I78" s="70"/>
      <c r="J78" s="69"/>
      <c r="K78" s="64"/>
    </row>
    <row r="79" spans="1:15">
      <c r="D79" s="96"/>
      <c r="E79" s="51"/>
      <c r="F79" s="51"/>
      <c r="G79" s="52"/>
      <c r="H79" s="52"/>
      <c r="I79" s="70"/>
      <c r="J79" s="69"/>
      <c r="K79" s="64"/>
    </row>
    <row r="80" spans="1:15">
      <c r="D80" s="50"/>
      <c r="E80" s="51"/>
      <c r="F80" s="78"/>
      <c r="G80" s="78"/>
      <c r="H80" s="77"/>
      <c r="I80" s="54"/>
      <c r="J80" s="78"/>
      <c r="K80" s="64"/>
    </row>
    <row r="81" spans="4:17">
      <c r="D81" s="50"/>
      <c r="E81" s="51"/>
      <c r="F81" s="51"/>
      <c r="G81" s="51"/>
      <c r="H81" s="52"/>
      <c r="I81" s="54"/>
      <c r="J81" s="66"/>
    </row>
    <row r="82" spans="4:17">
      <c r="D82" s="50"/>
      <c r="E82" s="51"/>
      <c r="F82" s="51"/>
      <c r="G82" s="51"/>
      <c r="H82" s="52"/>
      <c r="I82" s="54"/>
      <c r="J82" s="66"/>
    </row>
    <row r="88" spans="4:17">
      <c r="Q88" s="106"/>
    </row>
    <row r="89" spans="4:17">
      <c r="Q89" s="106"/>
    </row>
    <row r="90" spans="4:17">
      <c r="Q90" s="106"/>
    </row>
    <row r="91" spans="4:17">
      <c r="Q91" s="106"/>
    </row>
    <row r="92" spans="4:17">
      <c r="Q92" s="106"/>
    </row>
    <row r="93" spans="4:17">
      <c r="Q93" s="106"/>
    </row>
    <row r="94" spans="4:17">
      <c r="Q94" s="106"/>
    </row>
    <row r="95" spans="4:17">
      <c r="Q95" s="106"/>
    </row>
    <row r="96" spans="4:17">
      <c r="Q96" s="106"/>
    </row>
    <row r="97" spans="17:17">
      <c r="Q97" s="106"/>
    </row>
    <row r="98" spans="17:17">
      <c r="Q98" s="106"/>
    </row>
    <row r="99" spans="17:17">
      <c r="Q99" s="106"/>
    </row>
    <row r="100" spans="17:17">
      <c r="Q100" s="106"/>
    </row>
    <row r="101" spans="17:17">
      <c r="Q101" s="106"/>
    </row>
    <row r="102" spans="17:17">
      <c r="Q102" s="106"/>
    </row>
    <row r="103" spans="17:17">
      <c r="Q103" s="106"/>
    </row>
    <row r="104" spans="17:17">
      <c r="Q104" s="106"/>
    </row>
    <row r="105" spans="17:17">
      <c r="Q105" s="106"/>
    </row>
    <row r="106" spans="17:17">
      <c r="Q106" s="106"/>
    </row>
    <row r="107" spans="17:17">
      <c r="Q107" s="106"/>
    </row>
    <row r="108" spans="17:17">
      <c r="Q108" s="106"/>
    </row>
    <row r="109" spans="17:17">
      <c r="Q109" s="106"/>
    </row>
    <row r="110" spans="17:17">
      <c r="Q110" s="106"/>
    </row>
    <row r="111" spans="17:17">
      <c r="Q111" s="106"/>
    </row>
    <row r="112" spans="17:17">
      <c r="Q112" s="106"/>
    </row>
    <row r="113" spans="17:17">
      <c r="Q113" s="106"/>
    </row>
    <row r="114" spans="17:17">
      <c r="Q114" s="106"/>
    </row>
    <row r="115" spans="17:17">
      <c r="Q115" s="106"/>
    </row>
    <row r="116" spans="17:17">
      <c r="Q116" s="107"/>
    </row>
  </sheetData>
  <mergeCells count="3">
    <mergeCell ref="F44:G44"/>
    <mergeCell ref="E2:O3"/>
    <mergeCell ref="E11:O11"/>
  </mergeCells>
  <pageMargins left="0.7" right="0.7" top="0.75" bottom="0.75" header="0.3" footer="0.3"/>
  <pageSetup scale="5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799C-6CF3-42B5-B043-5FC09C9BE8CF}">
  <dimension ref="A1:I34"/>
  <sheetViews>
    <sheetView topLeftCell="C11" workbookViewId="0">
      <selection activeCell="G2" sqref="G2:H33"/>
    </sheetView>
  </sheetViews>
  <sheetFormatPr defaultRowHeight="15.6"/>
  <cols>
    <col min="1" max="1" width="7.54296875" customWidth="1"/>
    <col min="2" max="2" width="13.6328125" customWidth="1"/>
    <col min="3" max="3" width="10.6328125" customWidth="1"/>
    <col min="4" max="4" width="13.6328125" customWidth="1"/>
    <col min="5" max="5" width="37.26953125" customWidth="1"/>
    <col min="6" max="6" width="30.26953125" customWidth="1"/>
    <col min="7" max="8" width="13.6328125" customWidth="1"/>
    <col min="9" max="9" width="10.6328125" customWidth="1"/>
  </cols>
  <sheetData>
    <row r="1" spans="1:9">
      <c r="A1" s="129" t="s">
        <v>194</v>
      </c>
      <c r="B1" s="129" t="s">
        <v>195</v>
      </c>
      <c r="C1" s="129" t="s">
        <v>196</v>
      </c>
      <c r="D1" s="129" t="s">
        <v>197</v>
      </c>
      <c r="E1" s="129" t="s">
        <v>198</v>
      </c>
      <c r="F1" s="129" t="s">
        <v>199</v>
      </c>
      <c r="G1" s="129" t="s">
        <v>200</v>
      </c>
      <c r="H1" s="129" t="s">
        <v>201</v>
      </c>
      <c r="I1" s="129" t="s">
        <v>202</v>
      </c>
    </row>
    <row r="2" spans="1:9">
      <c r="A2" t="s">
        <v>203</v>
      </c>
      <c r="B2" s="130" t="s">
        <v>204</v>
      </c>
      <c r="C2" t="s">
        <v>205</v>
      </c>
      <c r="D2" s="133">
        <v>60531000</v>
      </c>
      <c r="E2" t="s">
        <v>206</v>
      </c>
      <c r="F2" t="s">
        <v>207</v>
      </c>
      <c r="G2" s="131">
        <v>35000</v>
      </c>
      <c r="H2" s="131"/>
      <c r="I2" t="s">
        <v>208</v>
      </c>
    </row>
    <row r="3" spans="1:9">
      <c r="A3" t="s">
        <v>203</v>
      </c>
      <c r="B3" s="130" t="s">
        <v>204</v>
      </c>
      <c r="C3" t="s">
        <v>205</v>
      </c>
      <c r="D3" s="133">
        <v>57110000</v>
      </c>
      <c r="E3" t="s">
        <v>209</v>
      </c>
      <c r="F3" t="s">
        <v>207</v>
      </c>
      <c r="G3" s="131"/>
      <c r="H3" s="131">
        <v>35000</v>
      </c>
      <c r="I3" t="s">
        <v>208</v>
      </c>
    </row>
    <row r="4" spans="1:9">
      <c r="A4" t="s">
        <v>203</v>
      </c>
      <c r="B4" s="130">
        <v>46117</v>
      </c>
      <c r="C4" t="s">
        <v>210</v>
      </c>
      <c r="D4" s="133">
        <v>62811100</v>
      </c>
      <c r="E4" t="s">
        <v>211</v>
      </c>
      <c r="F4" t="s">
        <v>212</v>
      </c>
      <c r="G4" s="131">
        <v>30900</v>
      </c>
      <c r="H4" s="131"/>
      <c r="I4" t="s">
        <v>208</v>
      </c>
    </row>
    <row r="5" spans="1:9">
      <c r="A5" t="s">
        <v>203</v>
      </c>
      <c r="B5" s="130">
        <v>46117</v>
      </c>
      <c r="C5" t="s">
        <v>210</v>
      </c>
      <c r="D5" s="133">
        <v>57110000</v>
      </c>
      <c r="E5" t="s">
        <v>209</v>
      </c>
      <c r="F5" t="s">
        <v>212</v>
      </c>
      <c r="G5" s="131"/>
      <c r="H5" s="131">
        <v>30900</v>
      </c>
      <c r="I5" t="s">
        <v>208</v>
      </c>
    </row>
    <row r="6" spans="1:9">
      <c r="A6" t="s">
        <v>203</v>
      </c>
      <c r="B6" s="130">
        <v>46117</v>
      </c>
      <c r="C6" t="s">
        <v>213</v>
      </c>
      <c r="D6" s="133">
        <v>62811100</v>
      </c>
      <c r="E6" t="s">
        <v>211</v>
      </c>
      <c r="F6" t="s">
        <v>186</v>
      </c>
      <c r="G6" s="131">
        <v>22500</v>
      </c>
      <c r="H6" s="131"/>
      <c r="I6" t="s">
        <v>208</v>
      </c>
    </row>
    <row r="7" spans="1:9">
      <c r="A7" t="s">
        <v>203</v>
      </c>
      <c r="B7" s="130">
        <v>46117</v>
      </c>
      <c r="C7" t="s">
        <v>213</v>
      </c>
      <c r="D7" s="133">
        <v>57110000</v>
      </c>
      <c r="E7" t="s">
        <v>209</v>
      </c>
      <c r="F7" t="s">
        <v>186</v>
      </c>
      <c r="G7" s="131"/>
      <c r="H7" s="131">
        <v>22500</v>
      </c>
      <c r="I7" t="s">
        <v>208</v>
      </c>
    </row>
    <row r="8" spans="1:9">
      <c r="A8" t="s">
        <v>203</v>
      </c>
      <c r="B8" s="130">
        <v>46147</v>
      </c>
      <c r="C8" t="s">
        <v>214</v>
      </c>
      <c r="D8" s="133">
        <v>62433000</v>
      </c>
      <c r="E8" t="s">
        <v>215</v>
      </c>
      <c r="F8" t="s">
        <v>216</v>
      </c>
      <c r="G8" s="131">
        <v>3000</v>
      </c>
      <c r="H8" s="131"/>
      <c r="I8" t="s">
        <v>208</v>
      </c>
    </row>
    <row r="9" spans="1:9">
      <c r="A9" t="s">
        <v>203</v>
      </c>
      <c r="B9" s="130">
        <v>46147</v>
      </c>
      <c r="C9" t="s">
        <v>214</v>
      </c>
      <c r="D9" s="133">
        <v>57110000</v>
      </c>
      <c r="E9" t="s">
        <v>209</v>
      </c>
      <c r="F9" t="s">
        <v>216</v>
      </c>
      <c r="G9" s="131"/>
      <c r="H9" s="131">
        <v>3000</v>
      </c>
      <c r="I9" t="s">
        <v>208</v>
      </c>
    </row>
    <row r="10" spans="1:9">
      <c r="A10" t="s">
        <v>203</v>
      </c>
      <c r="B10" s="130">
        <v>46208</v>
      </c>
      <c r="C10" t="s">
        <v>217</v>
      </c>
      <c r="D10" s="133">
        <v>60531000</v>
      </c>
      <c r="E10" t="s">
        <v>206</v>
      </c>
      <c r="F10" t="s">
        <v>207</v>
      </c>
      <c r="G10" s="131">
        <v>40000</v>
      </c>
      <c r="H10" s="131"/>
      <c r="I10" t="s">
        <v>208</v>
      </c>
    </row>
    <row r="11" spans="1:9">
      <c r="A11" t="s">
        <v>203</v>
      </c>
      <c r="B11" s="130">
        <v>46208</v>
      </c>
      <c r="C11" t="s">
        <v>217</v>
      </c>
      <c r="D11" s="133">
        <v>57110000</v>
      </c>
      <c r="E11" t="s">
        <v>209</v>
      </c>
      <c r="F11" t="s">
        <v>207</v>
      </c>
      <c r="G11" s="131"/>
      <c r="H11" s="131">
        <v>40000</v>
      </c>
      <c r="I11" t="s">
        <v>208</v>
      </c>
    </row>
    <row r="12" spans="1:9">
      <c r="A12" t="s">
        <v>203</v>
      </c>
      <c r="B12" s="130">
        <v>46208</v>
      </c>
      <c r="C12" t="s">
        <v>218</v>
      </c>
      <c r="D12" s="133">
        <v>60511000</v>
      </c>
      <c r="E12" t="s">
        <v>219</v>
      </c>
      <c r="F12" t="s">
        <v>220</v>
      </c>
      <c r="G12" s="131">
        <v>1909</v>
      </c>
      <c r="H12" s="131"/>
      <c r="I12" t="s">
        <v>208</v>
      </c>
    </row>
    <row r="13" spans="1:9">
      <c r="A13" t="s">
        <v>203</v>
      </c>
      <c r="B13" s="130">
        <v>46208</v>
      </c>
      <c r="C13" t="s">
        <v>218</v>
      </c>
      <c r="D13" s="133">
        <v>57110000</v>
      </c>
      <c r="E13" t="s">
        <v>209</v>
      </c>
      <c r="F13" t="s">
        <v>220</v>
      </c>
      <c r="G13" s="131"/>
      <c r="H13" s="131">
        <v>1909</v>
      </c>
      <c r="I13" t="s">
        <v>208</v>
      </c>
    </row>
    <row r="14" spans="1:9">
      <c r="A14" t="s">
        <v>203</v>
      </c>
      <c r="B14" s="130">
        <v>46208</v>
      </c>
      <c r="C14" t="s">
        <v>221</v>
      </c>
      <c r="D14" s="133">
        <v>60511000</v>
      </c>
      <c r="E14" t="s">
        <v>219</v>
      </c>
      <c r="F14" t="s">
        <v>220</v>
      </c>
      <c r="G14" s="131">
        <v>2025</v>
      </c>
      <c r="H14" s="131"/>
      <c r="I14" t="s">
        <v>208</v>
      </c>
    </row>
    <row r="15" spans="1:9">
      <c r="A15" t="s">
        <v>203</v>
      </c>
      <c r="B15" s="130">
        <v>46208</v>
      </c>
      <c r="C15" t="s">
        <v>221</v>
      </c>
      <c r="D15" s="133">
        <v>57110000</v>
      </c>
      <c r="E15" t="s">
        <v>209</v>
      </c>
      <c r="F15" t="s">
        <v>220</v>
      </c>
      <c r="G15" s="131"/>
      <c r="H15" s="131">
        <v>2025</v>
      </c>
      <c r="I15" t="s">
        <v>208</v>
      </c>
    </row>
    <row r="16" spans="1:9">
      <c r="A16" t="s">
        <v>203</v>
      </c>
      <c r="B16" s="130" t="s">
        <v>222</v>
      </c>
      <c r="C16" t="s">
        <v>223</v>
      </c>
      <c r="D16" s="133">
        <v>60511000</v>
      </c>
      <c r="E16" t="s">
        <v>219</v>
      </c>
      <c r="F16" t="s">
        <v>220</v>
      </c>
      <c r="G16" s="131">
        <v>3915</v>
      </c>
      <c r="H16" s="131"/>
      <c r="I16" t="s">
        <v>208</v>
      </c>
    </row>
    <row r="17" spans="1:9">
      <c r="A17" t="s">
        <v>203</v>
      </c>
      <c r="B17" s="130" t="s">
        <v>222</v>
      </c>
      <c r="C17" t="s">
        <v>223</v>
      </c>
      <c r="D17" s="133">
        <v>57110000</v>
      </c>
      <c r="E17" t="s">
        <v>209</v>
      </c>
      <c r="F17" t="s">
        <v>220</v>
      </c>
      <c r="G17" s="131"/>
      <c r="H17" s="131">
        <v>3915</v>
      </c>
      <c r="I17" t="s">
        <v>208</v>
      </c>
    </row>
    <row r="18" spans="1:9">
      <c r="A18" t="s">
        <v>203</v>
      </c>
      <c r="B18" s="130" t="s">
        <v>224</v>
      </c>
      <c r="C18" t="s">
        <v>225</v>
      </c>
      <c r="D18" s="133">
        <v>60531000</v>
      </c>
      <c r="E18" t="s">
        <v>206</v>
      </c>
      <c r="F18" t="s">
        <v>226</v>
      </c>
      <c r="G18" s="131">
        <v>43300</v>
      </c>
      <c r="H18" s="131"/>
      <c r="I18" t="s">
        <v>208</v>
      </c>
    </row>
    <row r="19" spans="1:9">
      <c r="A19" t="s">
        <v>203</v>
      </c>
      <c r="B19" s="130" t="s">
        <v>224</v>
      </c>
      <c r="C19" t="s">
        <v>225</v>
      </c>
      <c r="D19" s="133">
        <v>57110000</v>
      </c>
      <c r="E19" t="s">
        <v>209</v>
      </c>
      <c r="F19" t="s">
        <v>226</v>
      </c>
      <c r="G19" s="131"/>
      <c r="H19" s="131">
        <v>43300</v>
      </c>
      <c r="I19" t="s">
        <v>208</v>
      </c>
    </row>
    <row r="20" spans="1:9">
      <c r="A20" t="s">
        <v>203</v>
      </c>
      <c r="B20" s="130" t="s">
        <v>227</v>
      </c>
      <c r="C20" t="s">
        <v>228</v>
      </c>
      <c r="D20" s="133" t="s">
        <v>245</v>
      </c>
      <c r="E20" t="s">
        <v>246</v>
      </c>
      <c r="F20" t="s">
        <v>229</v>
      </c>
      <c r="G20" s="131">
        <v>48200</v>
      </c>
      <c r="H20" s="131"/>
      <c r="I20" t="s">
        <v>208</v>
      </c>
    </row>
    <row r="21" spans="1:9">
      <c r="A21" t="s">
        <v>203</v>
      </c>
      <c r="B21" s="130" t="s">
        <v>227</v>
      </c>
      <c r="C21" t="s">
        <v>228</v>
      </c>
      <c r="D21" s="133">
        <v>57110000</v>
      </c>
      <c r="E21" t="s">
        <v>209</v>
      </c>
      <c r="F21" t="s">
        <v>229</v>
      </c>
      <c r="G21" s="131"/>
      <c r="H21" s="131">
        <v>48200</v>
      </c>
      <c r="I21" t="s">
        <v>208</v>
      </c>
    </row>
    <row r="22" spans="1:9">
      <c r="A22" t="s">
        <v>203</v>
      </c>
      <c r="B22" s="130" t="s">
        <v>230</v>
      </c>
      <c r="C22" t="s">
        <v>231</v>
      </c>
      <c r="D22" s="133">
        <v>60522000</v>
      </c>
      <c r="E22" t="s">
        <v>232</v>
      </c>
      <c r="F22" t="s">
        <v>233</v>
      </c>
      <c r="G22" s="131">
        <v>30000</v>
      </c>
      <c r="H22" s="131"/>
      <c r="I22" t="s">
        <v>208</v>
      </c>
    </row>
    <row r="23" spans="1:9">
      <c r="A23" t="s">
        <v>203</v>
      </c>
      <c r="B23" s="130" t="s">
        <v>230</v>
      </c>
      <c r="C23" t="s">
        <v>231</v>
      </c>
      <c r="D23" s="133">
        <v>57110000</v>
      </c>
      <c r="E23" t="s">
        <v>209</v>
      </c>
      <c r="F23" t="s">
        <v>233</v>
      </c>
      <c r="G23" s="131"/>
      <c r="H23" s="131">
        <v>30000</v>
      </c>
      <c r="I23" t="s">
        <v>208</v>
      </c>
    </row>
    <row r="24" spans="1:9">
      <c r="A24" t="s">
        <v>203</v>
      </c>
      <c r="B24" s="130" t="s">
        <v>234</v>
      </c>
      <c r="C24" t="s">
        <v>235</v>
      </c>
      <c r="D24" s="133" t="s">
        <v>245</v>
      </c>
      <c r="E24" t="s">
        <v>246</v>
      </c>
      <c r="F24" t="s">
        <v>236</v>
      </c>
      <c r="G24" s="131">
        <v>100000</v>
      </c>
      <c r="H24" s="131"/>
      <c r="I24" t="s">
        <v>208</v>
      </c>
    </row>
    <row r="25" spans="1:9">
      <c r="A25" t="s">
        <v>203</v>
      </c>
      <c r="B25" s="130" t="s">
        <v>234</v>
      </c>
      <c r="C25" t="s">
        <v>235</v>
      </c>
      <c r="D25" s="133">
        <v>57110000</v>
      </c>
      <c r="E25" t="s">
        <v>209</v>
      </c>
      <c r="F25" t="s">
        <v>236</v>
      </c>
      <c r="G25" s="131"/>
      <c r="H25" s="131">
        <v>100000</v>
      </c>
      <c r="I25" t="s">
        <v>208</v>
      </c>
    </row>
    <row r="26" spans="1:9">
      <c r="A26" t="s">
        <v>203</v>
      </c>
      <c r="B26" s="130" t="s">
        <v>237</v>
      </c>
      <c r="C26" t="s">
        <v>238</v>
      </c>
      <c r="D26" s="133">
        <v>62811100</v>
      </c>
      <c r="E26" t="s">
        <v>211</v>
      </c>
      <c r="F26" t="s">
        <v>239</v>
      </c>
      <c r="G26" s="131">
        <v>20900</v>
      </c>
      <c r="H26" s="131"/>
      <c r="I26" t="s">
        <v>208</v>
      </c>
    </row>
    <row r="27" spans="1:9">
      <c r="A27" t="s">
        <v>203</v>
      </c>
      <c r="B27" s="130" t="s">
        <v>237</v>
      </c>
      <c r="C27" t="s">
        <v>238</v>
      </c>
      <c r="D27" s="133">
        <v>57110000</v>
      </c>
      <c r="E27" t="s">
        <v>209</v>
      </c>
      <c r="F27" t="s">
        <v>239</v>
      </c>
      <c r="G27" s="131"/>
      <c r="H27" s="131">
        <v>20900</v>
      </c>
      <c r="I27" t="s">
        <v>208</v>
      </c>
    </row>
    <row r="28" spans="1:9">
      <c r="A28" t="s">
        <v>203</v>
      </c>
      <c r="B28" s="130" t="s">
        <v>237</v>
      </c>
      <c r="C28" t="s">
        <v>240</v>
      </c>
      <c r="D28" s="133">
        <v>62100400</v>
      </c>
      <c r="E28" t="s">
        <v>241</v>
      </c>
      <c r="F28" t="s">
        <v>130</v>
      </c>
      <c r="G28" s="131">
        <v>30000</v>
      </c>
      <c r="H28" s="131"/>
      <c r="I28" t="s">
        <v>208</v>
      </c>
    </row>
    <row r="29" spans="1:9">
      <c r="A29" t="s">
        <v>203</v>
      </c>
      <c r="B29" s="130" t="s">
        <v>237</v>
      </c>
      <c r="C29" t="s">
        <v>240</v>
      </c>
      <c r="D29" s="133">
        <v>57110000</v>
      </c>
      <c r="E29" t="s">
        <v>209</v>
      </c>
      <c r="F29" t="s">
        <v>130</v>
      </c>
      <c r="G29" s="131"/>
      <c r="H29" s="131">
        <v>30000</v>
      </c>
      <c r="I29" t="s">
        <v>208</v>
      </c>
    </row>
    <row r="30" spans="1:9">
      <c r="A30" t="s">
        <v>203</v>
      </c>
      <c r="B30" s="130" t="s">
        <v>237</v>
      </c>
      <c r="C30" t="s">
        <v>242</v>
      </c>
      <c r="D30" s="133">
        <v>62433000</v>
      </c>
      <c r="E30" t="s">
        <v>215</v>
      </c>
      <c r="F30" t="s">
        <v>243</v>
      </c>
      <c r="G30" s="131">
        <v>10000</v>
      </c>
      <c r="H30" s="131"/>
      <c r="I30" t="s">
        <v>208</v>
      </c>
    </row>
    <row r="31" spans="1:9">
      <c r="A31" t="s">
        <v>203</v>
      </c>
      <c r="B31" s="130" t="s">
        <v>237</v>
      </c>
      <c r="C31" t="s">
        <v>242</v>
      </c>
      <c r="D31" s="133">
        <v>57110000</v>
      </c>
      <c r="E31" t="s">
        <v>209</v>
      </c>
      <c r="F31" t="s">
        <v>243</v>
      </c>
      <c r="G31" s="131"/>
      <c r="H31" s="131">
        <v>10000</v>
      </c>
      <c r="I31" t="s">
        <v>208</v>
      </c>
    </row>
    <row r="32" spans="1:9">
      <c r="A32" t="s">
        <v>203</v>
      </c>
      <c r="B32" s="130" t="s">
        <v>237</v>
      </c>
      <c r="C32" t="s">
        <v>244</v>
      </c>
      <c r="D32" s="133">
        <v>60531000</v>
      </c>
      <c r="E32" t="s">
        <v>206</v>
      </c>
      <c r="F32" t="s">
        <v>226</v>
      </c>
      <c r="G32" s="131">
        <v>35000</v>
      </c>
      <c r="H32" s="131"/>
      <c r="I32" t="s">
        <v>208</v>
      </c>
    </row>
    <row r="33" spans="1:9">
      <c r="A33" t="s">
        <v>203</v>
      </c>
      <c r="B33" s="130" t="s">
        <v>237</v>
      </c>
      <c r="C33" t="s">
        <v>244</v>
      </c>
      <c r="D33" s="133">
        <v>57110000</v>
      </c>
      <c r="E33" t="s">
        <v>209</v>
      </c>
      <c r="F33" t="s">
        <v>226</v>
      </c>
      <c r="G33" s="131"/>
      <c r="H33" s="131">
        <v>35000</v>
      </c>
      <c r="I33" t="s">
        <v>208</v>
      </c>
    </row>
    <row r="34" spans="1:9">
      <c r="F34" s="128" t="s">
        <v>11</v>
      </c>
      <c r="G34" s="132">
        <f>SUM(G2:G33)</f>
        <v>456649</v>
      </c>
      <c r="H34" s="132">
        <f>SUM(H2:H33)</f>
        <v>456649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 2026  </vt:lpstr>
      <vt:lpstr>FEV 2026  </vt:lpstr>
      <vt:lpstr>MARCH 26</vt:lpstr>
      <vt:lpstr>APRIL 26</vt:lpstr>
      <vt:lpstr>MAY 26</vt:lpstr>
      <vt:lpstr>JUNE 26 </vt:lpstr>
      <vt:lpstr>Sage_Import_June26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Enanga</dc:creator>
  <cp:lastModifiedBy>Tina Enanga</cp:lastModifiedBy>
  <cp:lastPrinted>2026-01-14T10:51:00Z</cp:lastPrinted>
  <dcterms:created xsi:type="dcterms:W3CDTF">2025-11-25T14:41:00Z</dcterms:created>
  <dcterms:modified xsi:type="dcterms:W3CDTF">2026-05-29T08:50:45Z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D66B7C23653F4B91A591886B1D732799_12</vt:lpwstr>
  </property>
  <property fmtid="{D5CDD505-2E9C-101B-9397-08002B2CF9AE}" pid="3" name="KSOProductBuildVer">
    <vt:lpwstr>1033-12.2.0.23196</vt:lpwstr>
  </property>
</Properties>
</file>